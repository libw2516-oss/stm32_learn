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hidePivotFieldList="1" defaultThemeVersion="124226"/>
  <xr:revisionPtr revIDLastSave="0" documentId="13_ncr:1_{2E0E132D-6A57-431A-B28C-A26CAE5C2924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汇总" sheetId="4" r:id="rId1"/>
    <sheet name="公司整体" sheetId="5" r:id="rId2"/>
    <sheet name="宁波" sheetId="6" r:id="rId3"/>
    <sheet name="长春" sheetId="7" r:id="rId4"/>
    <sheet name="广州" sheetId="9" r:id="rId5"/>
    <sheet name="武汉" sheetId="10" r:id="rId6"/>
    <sheet name="成都" sheetId="11" r:id="rId7"/>
    <sheet name="重庆" sheetId="12" r:id="rId8"/>
  </sheets>
  <definedNames>
    <definedName name="_xlnm._FilterDatabase" localSheetId="0" hidden="1">汇总!$A$3:$W$99</definedName>
    <definedName name="_xlnm._FilterDatabase" localSheetId="2" hidden="1">宁波!$B$27:$I$125</definedName>
    <definedName name="_xlnm.Print_Area" localSheetId="0">汇总!$A$1:$U$157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1" i="4" l="1"/>
  <c r="H130" i="4" s="1"/>
  <c r="G131" i="4"/>
  <c r="G130" i="4" s="1"/>
  <c r="F131" i="4"/>
  <c r="F130" i="4" s="1"/>
  <c r="H104" i="4"/>
  <c r="G104" i="4"/>
  <c r="G103" i="4" s="1"/>
  <c r="F104" i="4"/>
  <c r="H127" i="4"/>
  <c r="G109" i="4"/>
  <c r="F109" i="4"/>
  <c r="G108" i="4"/>
  <c r="F108" i="4"/>
  <c r="G107" i="4"/>
  <c r="F107" i="4"/>
  <c r="F141" i="4" s="1"/>
  <c r="G106" i="4"/>
  <c r="F106" i="4"/>
  <c r="G105" i="4"/>
  <c r="F105" i="4"/>
  <c r="H114" i="4"/>
  <c r="G114" i="4"/>
  <c r="F114" i="4"/>
  <c r="G111" i="4" l="1"/>
  <c r="G129" i="4"/>
  <c r="G136" i="4" s="1"/>
  <c r="G139" i="4"/>
  <c r="F103" i="4"/>
  <c r="A106" i="4" s="1"/>
  <c r="B106" i="4"/>
  <c r="F111" i="4"/>
  <c r="H111" i="4"/>
  <c r="G141" i="4"/>
  <c r="G140" i="4"/>
  <c r="G132" i="4" s="1"/>
  <c r="F140" i="4"/>
  <c r="I81" i="6"/>
  <c r="B39" i="6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H54" i="4"/>
  <c r="H103" i="4" s="1"/>
  <c r="H129" i="4" s="1"/>
  <c r="H137" i="4" s="1"/>
  <c r="F155" i="4"/>
  <c r="G157" i="4"/>
  <c r="F157" i="4"/>
  <c r="G156" i="4"/>
  <c r="F156" i="4"/>
  <c r="G154" i="4"/>
  <c r="G155" i="4"/>
  <c r="F154" i="4"/>
  <c r="F151" i="4"/>
  <c r="G153" i="4"/>
  <c r="F153" i="4"/>
  <c r="G152" i="4"/>
  <c r="F152" i="4"/>
  <c r="G151" i="4"/>
  <c r="G150" i="4"/>
  <c r="F150" i="4"/>
  <c r="G149" i="4"/>
  <c r="F149" i="4"/>
  <c r="G148" i="4"/>
  <c r="F148" i="4"/>
  <c r="F147" i="4"/>
  <c r="G147" i="4"/>
  <c r="G143" i="4"/>
  <c r="F143" i="4"/>
  <c r="G146" i="4"/>
  <c r="F146" i="4"/>
  <c r="G145" i="4"/>
  <c r="F145" i="4"/>
  <c r="F144" i="4"/>
  <c r="F142" i="4"/>
  <c r="G144" i="4"/>
  <c r="G142" i="4"/>
  <c r="G134" i="4" s="1"/>
  <c r="F112" i="4" l="1"/>
  <c r="G112" i="4"/>
  <c r="F113" i="4"/>
  <c r="G137" i="4"/>
  <c r="G133" i="4"/>
  <c r="H146" i="4"/>
  <c r="H140" i="4"/>
  <c r="H132" i="4" s="1"/>
  <c r="H148" i="4"/>
  <c r="H151" i="4"/>
  <c r="G113" i="4"/>
  <c r="H112" i="4"/>
  <c r="H145" i="4"/>
  <c r="H147" i="4"/>
  <c r="H144" i="4"/>
  <c r="H154" i="4"/>
  <c r="H142" i="4"/>
  <c r="H134" i="4" s="1"/>
  <c r="H143" i="4"/>
  <c r="H150" i="4"/>
  <c r="H153" i="4"/>
  <c r="H155" i="4"/>
  <c r="H157" i="4"/>
  <c r="H149" i="4"/>
  <c r="H152" i="4"/>
  <c r="F129" i="4"/>
  <c r="F134" i="4" s="1"/>
  <c r="F139" i="4"/>
  <c r="C106" i="4"/>
  <c r="H108" i="4"/>
  <c r="H106" i="4"/>
  <c r="H136" i="4" s="1"/>
  <c r="H109" i="4"/>
  <c r="H107" i="4"/>
  <c r="H133" i="4" s="1"/>
  <c r="H105" i="4"/>
  <c r="H156" i="4"/>
  <c r="H113" i="4" l="1"/>
  <c r="H128" i="4"/>
  <c r="G135" i="4" s="1"/>
  <c r="F136" i="4"/>
  <c r="F137" i="4"/>
  <c r="F133" i="4"/>
  <c r="F132" i="4"/>
  <c r="H141" i="4"/>
  <c r="H139" i="4"/>
  <c r="F135" i="4" l="1"/>
  <c r="H135" i="4"/>
  <c r="E3" i="11"/>
  <c r="E4" i="11"/>
  <c r="E5" i="11"/>
  <c r="F3" i="9"/>
  <c r="F4" i="9"/>
  <c r="F5" i="9"/>
  <c r="G4" i="12"/>
  <c r="G3" i="12"/>
  <c r="E3" i="12"/>
  <c r="E4" i="12"/>
  <c r="F3" i="11"/>
  <c r="F4" i="11"/>
  <c r="F5" i="11"/>
  <c r="F3" i="12"/>
  <c r="F4" i="12"/>
  <c r="G5" i="10"/>
  <c r="G4" i="10"/>
  <c r="G3" i="10"/>
  <c r="E3" i="9"/>
  <c r="E4" i="9"/>
  <c r="E5" i="9"/>
  <c r="E3" i="10"/>
  <c r="E4" i="10"/>
  <c r="E5" i="10"/>
  <c r="G5" i="9"/>
  <c r="G4" i="9"/>
  <c r="G3" i="9"/>
  <c r="F5" i="10"/>
  <c r="F4" i="10"/>
  <c r="F3" i="10"/>
  <c r="G5" i="11"/>
  <c r="G4" i="11"/>
  <c r="G3" i="11"/>
</calcChain>
</file>

<file path=xl/sharedStrings.xml><?xml version="1.0" encoding="utf-8"?>
<sst xmlns="http://schemas.openxmlformats.org/spreadsheetml/2006/main" count="1023" uniqueCount="415">
  <si>
    <t>M6</t>
    <phoneticPr fontId="1" type="noConversion"/>
  </si>
  <si>
    <t>长春德尔塔</t>
  </si>
  <si>
    <t>D003</t>
  </si>
  <si>
    <t>D009</t>
  </si>
  <si>
    <t>2CN</t>
  </si>
  <si>
    <t>武汉泰极江森</t>
  </si>
  <si>
    <t>B73C</t>
  </si>
  <si>
    <t>武汉东风李尔</t>
  </si>
  <si>
    <t>S15</t>
  </si>
  <si>
    <t>T9</t>
  </si>
  <si>
    <t>武汉佛吉亚(全兴)</t>
  </si>
  <si>
    <t>武汉易达成</t>
  </si>
  <si>
    <t>日本泰极</t>
  </si>
  <si>
    <t>CD340</t>
  </si>
  <si>
    <t>重庆豪斯特</t>
  </si>
  <si>
    <t>摩洛哥李尔</t>
  </si>
  <si>
    <t>P32L</t>
  </si>
  <si>
    <t>波兰李尔</t>
  </si>
  <si>
    <t>238L扶手泡沫</t>
  </si>
  <si>
    <t>天津英泰</t>
  </si>
  <si>
    <t>天津东海化成</t>
  </si>
  <si>
    <t>V501</t>
  </si>
  <si>
    <t>B7</t>
  </si>
  <si>
    <t>巴西李尔</t>
  </si>
  <si>
    <t>AD</t>
  </si>
  <si>
    <t>广州江森</t>
  </si>
  <si>
    <t>澳大利亚富卓</t>
  </si>
  <si>
    <t>J92</t>
  </si>
  <si>
    <t>摩洛哥泰弗</t>
  </si>
  <si>
    <t>MY14</t>
  </si>
  <si>
    <t>X02A</t>
  </si>
  <si>
    <t>印度SPACK</t>
  </si>
  <si>
    <t>X61</t>
  </si>
  <si>
    <t>Y555</t>
  </si>
  <si>
    <t>德国江森</t>
  </si>
  <si>
    <t>A9</t>
  </si>
  <si>
    <t>2WP</t>
  </si>
  <si>
    <t>BX3R</t>
  </si>
  <si>
    <t>L11K-E</t>
  </si>
  <si>
    <t>583A(卡罗拉）</t>
  </si>
  <si>
    <t>A515</t>
  </si>
  <si>
    <t>B02A</t>
  </si>
  <si>
    <t>B299</t>
  </si>
  <si>
    <t>南京弗吉亚</t>
  </si>
  <si>
    <t>C131</t>
  </si>
  <si>
    <t>E10</t>
  </si>
  <si>
    <t>上海李尔</t>
  </si>
  <si>
    <t>GB-1</t>
  </si>
  <si>
    <t>广州提爱思</t>
  </si>
  <si>
    <t>T73</t>
  </si>
  <si>
    <t>郑州泰新</t>
  </si>
  <si>
    <t>A3</t>
  </si>
  <si>
    <t>沈阳李尔</t>
  </si>
  <si>
    <t>BF3</t>
  </si>
  <si>
    <t>M3M4</t>
  </si>
  <si>
    <t>长春佛吉亚</t>
  </si>
  <si>
    <t>Tiger</t>
  </si>
  <si>
    <t>X11M</t>
  </si>
  <si>
    <t>B753</t>
  </si>
  <si>
    <t>重庆延锋江森</t>
  </si>
  <si>
    <t>B73</t>
  </si>
  <si>
    <t>BMWL7</t>
  </si>
  <si>
    <t>沈阳佛吉亚</t>
  </si>
  <si>
    <t>C302</t>
  </si>
  <si>
    <t>斯洛伐克
江森</t>
  </si>
  <si>
    <t>长春李尔</t>
  </si>
  <si>
    <t>B58</t>
  </si>
  <si>
    <t>西班牙泰弗</t>
  </si>
  <si>
    <t>B81C</t>
  </si>
  <si>
    <t>E18</t>
  </si>
  <si>
    <t>欧洲李尔</t>
  </si>
  <si>
    <t>长春李尔(广东)</t>
  </si>
  <si>
    <t>422A</t>
  </si>
  <si>
    <t>A130</t>
  </si>
  <si>
    <t>LX&amp;LD</t>
  </si>
  <si>
    <t>美国李尔</t>
  </si>
  <si>
    <t>SK461</t>
  </si>
  <si>
    <t>宝来GP</t>
  </si>
  <si>
    <t>GTI</t>
  </si>
  <si>
    <t>MODEL C</t>
  </si>
  <si>
    <t>MODEL G</t>
  </si>
  <si>
    <t>Model G导套</t>
  </si>
  <si>
    <t>NCS</t>
  </si>
  <si>
    <t>富维江森-成都分公司</t>
  </si>
  <si>
    <t>NCS导套</t>
  </si>
  <si>
    <t>SGM985</t>
  </si>
  <si>
    <t>SK25</t>
  </si>
  <si>
    <t>俄罗斯李尔</t>
  </si>
  <si>
    <t>X7</t>
  </si>
  <si>
    <t>X77导套</t>
  </si>
  <si>
    <t>B3/B4(DV)</t>
  </si>
  <si>
    <t>CD391</t>
  </si>
  <si>
    <t>欧洲李尔/芜湖李尔</t>
  </si>
  <si>
    <t>Dacia X52</t>
  </si>
  <si>
    <t>江森(罗马尼亚)</t>
  </si>
  <si>
    <t>TX3</t>
  </si>
  <si>
    <t>CF11/CF14</t>
  </si>
  <si>
    <t>U501</t>
  </si>
  <si>
    <t>V80</t>
  </si>
  <si>
    <t>B515</t>
  </si>
  <si>
    <t>重庆李尔</t>
  </si>
  <si>
    <t>CODA(头枕扶手)</t>
  </si>
  <si>
    <t>VW251</t>
  </si>
  <si>
    <t>VW25X</t>
  </si>
  <si>
    <t>印度李尔</t>
  </si>
  <si>
    <t>支杆</t>
  </si>
  <si>
    <t>宁波发泡</t>
    <phoneticPr fontId="1" type="noConversion"/>
  </si>
  <si>
    <t>宁波注塑</t>
    <phoneticPr fontId="1" type="noConversion"/>
  </si>
  <si>
    <t>宁波装配</t>
    <phoneticPr fontId="1" type="noConversion"/>
  </si>
  <si>
    <t>宁波缝纫</t>
    <phoneticPr fontId="1" type="noConversion"/>
  </si>
  <si>
    <t>宁波支杆</t>
    <phoneticPr fontId="1" type="noConversion"/>
  </si>
  <si>
    <r>
      <rPr>
        <b/>
        <sz val="8"/>
        <color theme="0"/>
        <rFont val="宋体"/>
        <family val="3"/>
        <charset val="134"/>
      </rPr>
      <t>支杆</t>
    </r>
    <phoneticPr fontId="1" type="noConversion"/>
  </si>
  <si>
    <r>
      <rPr>
        <b/>
        <sz val="8"/>
        <color theme="0"/>
        <rFont val="宋体"/>
        <family val="3"/>
        <charset val="134"/>
      </rPr>
      <t>泡沫</t>
    </r>
    <phoneticPr fontId="1" type="noConversion"/>
  </si>
  <si>
    <r>
      <rPr>
        <b/>
        <sz val="8"/>
        <color theme="0"/>
        <rFont val="宋体"/>
        <family val="3"/>
        <charset val="134"/>
      </rPr>
      <t>注塑</t>
    </r>
    <phoneticPr fontId="1" type="noConversion"/>
  </si>
  <si>
    <r>
      <rPr>
        <b/>
        <sz val="8"/>
        <color theme="0"/>
        <rFont val="宋体"/>
        <family val="3"/>
        <charset val="134"/>
      </rPr>
      <t>装配</t>
    </r>
    <phoneticPr fontId="1" type="noConversion"/>
  </si>
  <si>
    <r>
      <rPr>
        <b/>
        <sz val="8"/>
        <color theme="0"/>
        <rFont val="宋体"/>
        <family val="3"/>
        <charset val="134"/>
      </rPr>
      <t>缝纫</t>
    </r>
    <phoneticPr fontId="1" type="noConversion"/>
  </si>
  <si>
    <r>
      <rPr>
        <b/>
        <sz val="8"/>
        <color theme="0"/>
        <rFont val="宋体"/>
        <family val="3"/>
        <charset val="134"/>
      </rPr>
      <t>宁波</t>
    </r>
    <phoneticPr fontId="1" type="noConversion"/>
  </si>
  <si>
    <r>
      <rPr>
        <b/>
        <sz val="8"/>
        <color theme="0"/>
        <rFont val="宋体"/>
        <family val="3"/>
        <charset val="134"/>
      </rPr>
      <t>长春</t>
    </r>
    <phoneticPr fontId="1" type="noConversion"/>
  </si>
  <si>
    <r>
      <rPr>
        <b/>
        <sz val="8"/>
        <color theme="0"/>
        <rFont val="宋体"/>
        <family val="3"/>
        <charset val="134"/>
      </rPr>
      <t>广州</t>
    </r>
    <phoneticPr fontId="1" type="noConversion"/>
  </si>
  <si>
    <r>
      <rPr>
        <b/>
        <sz val="8"/>
        <color theme="0"/>
        <rFont val="宋体"/>
        <family val="3"/>
        <charset val="134"/>
      </rPr>
      <t>成都</t>
    </r>
    <phoneticPr fontId="1" type="noConversion"/>
  </si>
  <si>
    <r>
      <rPr>
        <b/>
        <sz val="8"/>
        <color theme="0"/>
        <rFont val="宋体"/>
        <family val="3"/>
        <charset val="134"/>
      </rPr>
      <t>武汉</t>
    </r>
    <phoneticPr fontId="1" type="noConversion"/>
  </si>
  <si>
    <r>
      <rPr>
        <b/>
        <sz val="8"/>
        <color theme="0"/>
        <rFont val="宋体"/>
        <family val="3"/>
        <charset val="134"/>
      </rPr>
      <t>重庆</t>
    </r>
    <phoneticPr fontId="1" type="noConversion"/>
  </si>
  <si>
    <t>编号</t>
    <phoneticPr fontId="1" type="noConversion"/>
  </si>
  <si>
    <t>项目代码</t>
    <phoneticPr fontId="1" type="noConversion"/>
  </si>
  <si>
    <t>客户</t>
    <phoneticPr fontId="1" type="noConversion"/>
  </si>
  <si>
    <t>产品</t>
    <phoneticPr fontId="1" type="noConversion"/>
  </si>
  <si>
    <t>头枕，扶手泡沫</t>
  </si>
  <si>
    <t>头枕，扶手泡沫</t>
    <phoneticPr fontId="1" type="noConversion"/>
  </si>
  <si>
    <t>头枕，扶手总成</t>
    <phoneticPr fontId="1" type="noConversion"/>
  </si>
  <si>
    <t>长春富维</t>
    <phoneticPr fontId="1" type="noConversion"/>
  </si>
  <si>
    <r>
      <t>W2</t>
    </r>
    <r>
      <rPr>
        <sz val="8"/>
        <rFont val="宋体"/>
        <family val="3"/>
        <charset val="134"/>
      </rPr>
      <t>支杆</t>
    </r>
    <phoneticPr fontId="1" type="noConversion"/>
  </si>
  <si>
    <r>
      <t>P32L-</t>
    </r>
    <r>
      <rPr>
        <sz val="8"/>
        <rFont val="宋体"/>
        <family val="3"/>
        <charset val="134"/>
      </rPr>
      <t>日本</t>
    </r>
    <phoneticPr fontId="1" type="noConversion"/>
  </si>
  <si>
    <r>
      <t>238L</t>
    </r>
    <r>
      <rPr>
        <sz val="8"/>
        <rFont val="宋体"/>
        <family val="3"/>
        <charset val="134"/>
      </rPr>
      <t>支杆</t>
    </r>
    <phoneticPr fontId="1" type="noConversion"/>
  </si>
  <si>
    <r>
      <t>L11K</t>
    </r>
    <r>
      <rPr>
        <sz val="8"/>
        <rFont val="宋体"/>
        <family val="3"/>
        <charset val="134"/>
      </rPr>
      <t>后排支杆</t>
    </r>
    <phoneticPr fontId="1" type="noConversion"/>
  </si>
  <si>
    <t>广州泰李</t>
    <phoneticPr fontId="1" type="noConversion"/>
  </si>
  <si>
    <t>AC</t>
    <phoneticPr fontId="1" type="noConversion"/>
  </si>
  <si>
    <t>X11Q</t>
    <phoneticPr fontId="1" type="noConversion"/>
  </si>
  <si>
    <t>X11J</t>
    <phoneticPr fontId="1" type="noConversion"/>
  </si>
  <si>
    <t>X11Q-E</t>
    <phoneticPr fontId="1" type="noConversion"/>
  </si>
  <si>
    <t>L02B</t>
    <phoneticPr fontId="1" type="noConversion"/>
  </si>
  <si>
    <t>T73A</t>
    <phoneticPr fontId="1" type="noConversion"/>
  </si>
  <si>
    <r>
      <rPr>
        <sz val="8"/>
        <rFont val="宋体"/>
        <family val="3"/>
        <charset val="134"/>
      </rPr>
      <t>高尔夫</t>
    </r>
    <r>
      <rPr>
        <sz val="8"/>
        <rFont val="Arial"/>
        <family val="2"/>
      </rPr>
      <t>A7</t>
    </r>
    <phoneticPr fontId="1" type="noConversion"/>
  </si>
  <si>
    <t>LDV</t>
    <phoneticPr fontId="1" type="noConversion"/>
  </si>
  <si>
    <t>Jetta NF</t>
    <phoneticPr fontId="1" type="noConversion"/>
  </si>
  <si>
    <t>成都富维</t>
    <phoneticPr fontId="1" type="noConversion"/>
  </si>
  <si>
    <t>L846</t>
    <phoneticPr fontId="1" type="noConversion"/>
  </si>
  <si>
    <r>
      <t>W2</t>
    </r>
    <r>
      <rPr>
        <sz val="8"/>
        <rFont val="宋体"/>
        <family val="3"/>
        <charset val="134"/>
      </rPr>
      <t>泡沫</t>
    </r>
    <phoneticPr fontId="1" type="noConversion"/>
  </si>
  <si>
    <t>AUDI B8</t>
    <phoneticPr fontId="1" type="noConversion"/>
  </si>
  <si>
    <t>W66W77</t>
    <phoneticPr fontId="1" type="noConversion"/>
  </si>
  <si>
    <t>AUDI X88</t>
    <phoneticPr fontId="1" type="noConversion"/>
  </si>
  <si>
    <t>C303</t>
    <phoneticPr fontId="1" type="noConversion"/>
  </si>
  <si>
    <t>武汉泰昌</t>
    <phoneticPr fontId="1" type="noConversion"/>
  </si>
  <si>
    <r>
      <t>B7L</t>
    </r>
    <r>
      <rPr>
        <sz val="8"/>
        <rFont val="宋体"/>
        <family val="3"/>
        <charset val="134"/>
      </rPr>
      <t>导套</t>
    </r>
    <phoneticPr fontId="1" type="noConversion"/>
  </si>
  <si>
    <t>长春李尔</t>
    <phoneticPr fontId="1" type="noConversion"/>
  </si>
  <si>
    <r>
      <t>x77</t>
    </r>
    <r>
      <rPr>
        <sz val="8"/>
        <rFont val="宋体"/>
        <family val="3"/>
        <charset val="134"/>
      </rPr>
      <t>头枕</t>
    </r>
    <phoneticPr fontId="1" type="noConversion"/>
  </si>
  <si>
    <r>
      <t>P32L</t>
    </r>
    <r>
      <rPr>
        <sz val="8"/>
        <rFont val="宋体"/>
        <family val="3"/>
        <charset val="134"/>
      </rPr>
      <t>（郑州）</t>
    </r>
    <phoneticPr fontId="1" type="noConversion"/>
  </si>
  <si>
    <t>郑州泰新</t>
    <phoneticPr fontId="1" type="noConversion"/>
  </si>
  <si>
    <t>J02C</t>
    <phoneticPr fontId="1" type="noConversion"/>
  </si>
  <si>
    <t>日本泰极</t>
    <phoneticPr fontId="1" type="noConversion"/>
  </si>
  <si>
    <t>NF101</t>
    <phoneticPr fontId="1" type="noConversion"/>
  </si>
  <si>
    <t>武汉东风李尔</t>
    <phoneticPr fontId="1" type="noConversion"/>
  </si>
  <si>
    <t>P32R</t>
    <phoneticPr fontId="1" type="noConversion"/>
  </si>
  <si>
    <t>B0</t>
    <phoneticPr fontId="1" type="noConversion"/>
  </si>
  <si>
    <t>斯洛伐克泰弗</t>
    <phoneticPr fontId="1" type="noConversion"/>
  </si>
  <si>
    <r>
      <t>CD391</t>
    </r>
    <r>
      <rPr>
        <sz val="8"/>
        <rFont val="宋体"/>
        <family val="3"/>
        <charset val="134"/>
      </rPr>
      <t>扶手</t>
    </r>
    <phoneticPr fontId="1" type="noConversion"/>
  </si>
  <si>
    <t>头枕泡沫</t>
    <phoneticPr fontId="1" type="noConversion"/>
  </si>
  <si>
    <t>头枕包覆</t>
    <phoneticPr fontId="1" type="noConversion"/>
  </si>
  <si>
    <t>支杆</t>
    <phoneticPr fontId="1" type="noConversion"/>
  </si>
  <si>
    <t>门板扶手总成</t>
    <phoneticPr fontId="1" type="noConversion"/>
  </si>
  <si>
    <t>扶手泡沫</t>
    <phoneticPr fontId="1" type="noConversion"/>
  </si>
  <si>
    <t>头枕总成</t>
    <phoneticPr fontId="1" type="noConversion"/>
  </si>
  <si>
    <t>扶手总成</t>
    <phoneticPr fontId="1" type="noConversion"/>
  </si>
  <si>
    <t>头枕，侧翼总成</t>
    <phoneticPr fontId="1" type="noConversion"/>
  </si>
  <si>
    <t>导套</t>
    <phoneticPr fontId="1" type="noConversion"/>
  </si>
  <si>
    <t>东风李尔泰新</t>
    <phoneticPr fontId="1" type="noConversion"/>
  </si>
  <si>
    <r>
      <rPr>
        <sz val="10"/>
        <color theme="0"/>
        <rFont val="宋体"/>
        <family val="3"/>
        <charset val="134"/>
      </rPr>
      <t>泡沫</t>
    </r>
    <phoneticPr fontId="1" type="noConversion"/>
  </si>
  <si>
    <r>
      <rPr>
        <sz val="10"/>
        <color theme="0"/>
        <rFont val="宋体"/>
        <family val="3"/>
        <charset val="134"/>
      </rPr>
      <t>注塑</t>
    </r>
    <phoneticPr fontId="1" type="noConversion"/>
  </si>
  <si>
    <r>
      <rPr>
        <sz val="10"/>
        <color theme="0"/>
        <rFont val="宋体"/>
        <family val="3"/>
        <charset val="134"/>
      </rPr>
      <t>装配</t>
    </r>
    <phoneticPr fontId="1" type="noConversion"/>
  </si>
  <si>
    <r>
      <rPr>
        <sz val="10"/>
        <color theme="0"/>
        <rFont val="宋体"/>
        <family val="3"/>
        <charset val="134"/>
      </rPr>
      <t>缝纫</t>
    </r>
    <phoneticPr fontId="1" type="noConversion"/>
  </si>
  <si>
    <r>
      <rPr>
        <sz val="9"/>
        <color theme="0"/>
        <rFont val="宋体"/>
        <family val="2"/>
        <charset val="134"/>
      </rPr>
      <t>长春发泡</t>
    </r>
    <phoneticPr fontId="1" type="noConversion"/>
  </si>
  <si>
    <r>
      <rPr>
        <sz val="9"/>
        <color theme="0"/>
        <rFont val="宋体"/>
        <family val="3"/>
        <charset val="134"/>
      </rPr>
      <t>长春缝纫</t>
    </r>
    <phoneticPr fontId="1" type="noConversion"/>
  </si>
  <si>
    <r>
      <rPr>
        <sz val="9"/>
        <color theme="0"/>
        <rFont val="宋体"/>
        <family val="3"/>
        <charset val="134"/>
      </rPr>
      <t>长春装配</t>
    </r>
    <phoneticPr fontId="1" type="noConversion"/>
  </si>
  <si>
    <r>
      <rPr>
        <sz val="9"/>
        <color theme="0"/>
        <rFont val="宋体"/>
        <family val="2"/>
        <charset val="134"/>
      </rPr>
      <t>广州发泡</t>
    </r>
    <phoneticPr fontId="1" type="noConversion"/>
  </si>
  <si>
    <r>
      <rPr>
        <sz val="9"/>
        <color theme="0"/>
        <rFont val="宋体"/>
        <family val="3"/>
        <charset val="134"/>
      </rPr>
      <t>广州缝纫</t>
    </r>
    <phoneticPr fontId="1" type="noConversion"/>
  </si>
  <si>
    <r>
      <rPr>
        <sz val="9"/>
        <color theme="0"/>
        <rFont val="宋体"/>
        <family val="3"/>
        <charset val="134"/>
      </rPr>
      <t>广州装配</t>
    </r>
    <phoneticPr fontId="1" type="noConversion"/>
  </si>
  <si>
    <r>
      <rPr>
        <sz val="9"/>
        <color theme="0"/>
        <rFont val="宋体"/>
        <family val="2"/>
        <charset val="134"/>
      </rPr>
      <t>武汉发泡</t>
    </r>
    <phoneticPr fontId="1" type="noConversion"/>
  </si>
  <si>
    <r>
      <rPr>
        <sz val="9"/>
        <color theme="0"/>
        <rFont val="宋体"/>
        <family val="3"/>
        <charset val="134"/>
      </rPr>
      <t>武汉缝纫</t>
    </r>
    <phoneticPr fontId="1" type="noConversion"/>
  </si>
  <si>
    <r>
      <rPr>
        <sz val="9"/>
        <color theme="0"/>
        <rFont val="宋体"/>
        <family val="3"/>
        <charset val="134"/>
      </rPr>
      <t>武汉装配</t>
    </r>
    <phoneticPr fontId="1" type="noConversion"/>
  </si>
  <si>
    <r>
      <rPr>
        <sz val="9"/>
        <color theme="0"/>
        <rFont val="宋体"/>
        <family val="2"/>
        <charset val="134"/>
      </rPr>
      <t>成都发泡</t>
    </r>
    <phoneticPr fontId="1" type="noConversion"/>
  </si>
  <si>
    <r>
      <rPr>
        <sz val="9"/>
        <color theme="0"/>
        <rFont val="宋体"/>
        <family val="3"/>
        <charset val="134"/>
      </rPr>
      <t>成都缝纫</t>
    </r>
    <phoneticPr fontId="1" type="noConversion"/>
  </si>
  <si>
    <r>
      <rPr>
        <sz val="9"/>
        <color theme="0"/>
        <rFont val="宋体"/>
        <family val="3"/>
        <charset val="134"/>
      </rPr>
      <t>成都装配</t>
    </r>
    <phoneticPr fontId="1" type="noConversion"/>
  </si>
  <si>
    <r>
      <rPr>
        <sz val="9"/>
        <color theme="0"/>
        <rFont val="宋体"/>
        <family val="2"/>
        <charset val="134"/>
      </rPr>
      <t>重庆发泡</t>
    </r>
    <phoneticPr fontId="1" type="noConversion"/>
  </si>
  <si>
    <r>
      <rPr>
        <sz val="9"/>
        <color theme="0"/>
        <rFont val="宋体"/>
        <family val="3"/>
        <charset val="134"/>
      </rPr>
      <t>重庆装配</t>
    </r>
    <phoneticPr fontId="1" type="noConversion"/>
  </si>
  <si>
    <t>J61/J61 5HB</t>
    <phoneticPr fontId="1" type="noConversion"/>
  </si>
  <si>
    <r>
      <rPr>
        <sz val="8"/>
        <color theme="1"/>
        <rFont val="宋体"/>
        <family val="3"/>
        <charset val="134"/>
      </rPr>
      <t>长春</t>
    </r>
    <r>
      <rPr>
        <sz val="8"/>
        <color theme="1"/>
        <rFont val="宋体"/>
        <family val="3"/>
        <charset val="134"/>
      </rPr>
      <t>富维丰田纺织</t>
    </r>
    <phoneticPr fontId="1" type="noConversion"/>
  </si>
  <si>
    <t>泡沫</t>
  </si>
  <si>
    <t>注塑</t>
  </si>
  <si>
    <t>装配</t>
  </si>
  <si>
    <t>缝纫</t>
  </si>
  <si>
    <t>年份</t>
    <phoneticPr fontId="1" type="noConversion"/>
  </si>
  <si>
    <t>宁波支杆</t>
  </si>
  <si>
    <t>宁波发泡</t>
  </si>
  <si>
    <t>宁波注塑</t>
  </si>
  <si>
    <t>宁波装配</t>
  </si>
  <si>
    <t>宁波缝纫</t>
  </si>
  <si>
    <r>
      <rPr>
        <sz val="9"/>
        <color theme="1"/>
        <rFont val="宋体"/>
        <family val="2"/>
        <charset val="134"/>
      </rPr>
      <t>宁波支杆</t>
    </r>
  </si>
  <si>
    <r>
      <rPr>
        <sz val="9"/>
        <color theme="1"/>
        <rFont val="宋体"/>
        <family val="2"/>
        <charset val="134"/>
      </rPr>
      <t>宁波发泡</t>
    </r>
  </si>
  <si>
    <r>
      <rPr>
        <sz val="9"/>
        <color theme="1"/>
        <rFont val="宋体"/>
        <family val="2"/>
        <charset val="134"/>
      </rPr>
      <t>宁波注塑</t>
    </r>
  </si>
  <si>
    <r>
      <rPr>
        <sz val="9"/>
        <color theme="1"/>
        <rFont val="宋体"/>
        <family val="2"/>
        <charset val="134"/>
      </rPr>
      <t>宁波装配</t>
    </r>
  </si>
  <si>
    <r>
      <rPr>
        <sz val="9"/>
        <color theme="1"/>
        <rFont val="宋体"/>
        <family val="2"/>
        <charset val="134"/>
      </rPr>
      <t>宁波缝纫</t>
    </r>
  </si>
  <si>
    <t>年份</t>
    <phoneticPr fontId="1" type="noConversion"/>
  </si>
  <si>
    <t>长春发泡</t>
  </si>
  <si>
    <t>长春缝纫</t>
  </si>
  <si>
    <t>长春装配</t>
  </si>
  <si>
    <r>
      <rPr>
        <sz val="9"/>
        <color theme="1"/>
        <rFont val="宋体"/>
        <family val="2"/>
        <charset val="134"/>
      </rPr>
      <t>长春发泡</t>
    </r>
  </si>
  <si>
    <r>
      <rPr>
        <sz val="9"/>
        <color theme="1"/>
        <rFont val="宋体"/>
        <family val="2"/>
        <charset val="134"/>
      </rPr>
      <t>长春缝纫</t>
    </r>
  </si>
  <si>
    <r>
      <rPr>
        <sz val="9"/>
        <color theme="1"/>
        <rFont val="宋体"/>
        <family val="2"/>
        <charset val="134"/>
      </rPr>
      <t>长春装配</t>
    </r>
  </si>
  <si>
    <t>广州发泡</t>
    <phoneticPr fontId="1" type="noConversion"/>
  </si>
  <si>
    <t>广州缝纫</t>
    <phoneticPr fontId="1" type="noConversion"/>
  </si>
  <si>
    <t>广州装配</t>
    <phoneticPr fontId="1" type="noConversion"/>
  </si>
  <si>
    <t>武汉发泡</t>
    <phoneticPr fontId="1" type="noConversion"/>
  </si>
  <si>
    <t>武汉缝纫</t>
    <phoneticPr fontId="1" type="noConversion"/>
  </si>
  <si>
    <t>武汉装配</t>
    <phoneticPr fontId="1" type="noConversion"/>
  </si>
  <si>
    <t>成都发泡</t>
    <phoneticPr fontId="1" type="noConversion"/>
  </si>
  <si>
    <t>成都缝纫</t>
    <phoneticPr fontId="1" type="noConversion"/>
  </si>
  <si>
    <t>成都装配</t>
    <phoneticPr fontId="1" type="noConversion"/>
  </si>
  <si>
    <t>重庆发泡</t>
    <phoneticPr fontId="1" type="noConversion"/>
  </si>
  <si>
    <t>重庆装配</t>
    <phoneticPr fontId="1" type="noConversion"/>
  </si>
  <si>
    <t>继峰2013-2015年项目分布</t>
    <phoneticPr fontId="1" type="noConversion"/>
  </si>
  <si>
    <t>工厂</t>
    <phoneticPr fontId="1" type="noConversion"/>
  </si>
  <si>
    <t>宁波</t>
    <phoneticPr fontId="1" type="noConversion"/>
  </si>
  <si>
    <t>宁波</t>
    <phoneticPr fontId="1" type="noConversion"/>
  </si>
  <si>
    <t>长春</t>
    <phoneticPr fontId="1" type="noConversion"/>
  </si>
  <si>
    <t>广州</t>
    <phoneticPr fontId="1" type="noConversion"/>
  </si>
  <si>
    <t>成都</t>
    <phoneticPr fontId="1" type="noConversion"/>
  </si>
  <si>
    <t>武汉</t>
    <phoneticPr fontId="1" type="noConversion"/>
  </si>
  <si>
    <t>重庆</t>
    <phoneticPr fontId="1" type="noConversion"/>
  </si>
  <si>
    <t>扶手总成</t>
    <phoneticPr fontId="1" type="noConversion"/>
  </si>
  <si>
    <t>宁波</t>
    <phoneticPr fontId="1" type="noConversion"/>
  </si>
  <si>
    <t>长春</t>
    <phoneticPr fontId="1" type="noConversion"/>
  </si>
  <si>
    <t>头枕，扶手总成</t>
    <phoneticPr fontId="1" type="noConversion"/>
  </si>
  <si>
    <t>长春富维</t>
    <phoneticPr fontId="1" type="noConversion"/>
  </si>
  <si>
    <t>头枕，侧翼总成</t>
    <phoneticPr fontId="1" type="noConversion"/>
  </si>
  <si>
    <t>宁波</t>
    <phoneticPr fontId="1" type="noConversion"/>
  </si>
  <si>
    <t>头枕总成</t>
    <phoneticPr fontId="1" type="noConversion"/>
  </si>
  <si>
    <t>广州</t>
    <phoneticPr fontId="1" type="noConversion"/>
  </si>
  <si>
    <t>L02B</t>
    <phoneticPr fontId="1" type="noConversion"/>
  </si>
  <si>
    <t>广州泰李</t>
    <phoneticPr fontId="1" type="noConversion"/>
  </si>
  <si>
    <t>头枕总成</t>
    <phoneticPr fontId="1" type="noConversion"/>
  </si>
  <si>
    <t>武汉</t>
    <phoneticPr fontId="1" type="noConversion"/>
  </si>
  <si>
    <t>T73A</t>
    <phoneticPr fontId="1" type="noConversion"/>
  </si>
  <si>
    <t>宁波</t>
    <phoneticPr fontId="1" type="noConversion"/>
  </si>
  <si>
    <t>长春</t>
    <phoneticPr fontId="1" type="noConversion"/>
  </si>
  <si>
    <t>扶手总成</t>
    <phoneticPr fontId="1" type="noConversion"/>
  </si>
  <si>
    <t>头枕，扶手总成</t>
    <phoneticPr fontId="1" type="noConversion"/>
  </si>
  <si>
    <r>
      <rPr>
        <sz val="9"/>
        <rFont val="宋体"/>
        <family val="3"/>
        <charset val="134"/>
      </rPr>
      <t>高尔夫</t>
    </r>
    <r>
      <rPr>
        <sz val="9"/>
        <rFont val="Arial"/>
        <family val="2"/>
      </rPr>
      <t>A7</t>
    </r>
    <phoneticPr fontId="1" type="noConversion"/>
  </si>
  <si>
    <t>广州</t>
    <phoneticPr fontId="1" type="noConversion"/>
  </si>
  <si>
    <t>长春富维</t>
    <phoneticPr fontId="1" type="noConversion"/>
  </si>
  <si>
    <t>LDV</t>
    <phoneticPr fontId="1" type="noConversion"/>
  </si>
  <si>
    <t>Jetta NF</t>
    <phoneticPr fontId="1" type="noConversion"/>
  </si>
  <si>
    <t>成都</t>
    <phoneticPr fontId="1" type="noConversion"/>
  </si>
  <si>
    <t>成都富维</t>
    <phoneticPr fontId="1" type="noConversion"/>
  </si>
  <si>
    <t>L846</t>
    <phoneticPr fontId="1" type="noConversion"/>
  </si>
  <si>
    <t>支杆</t>
    <phoneticPr fontId="1" type="noConversion"/>
  </si>
  <si>
    <r>
      <t>W2</t>
    </r>
    <r>
      <rPr>
        <sz val="9"/>
        <rFont val="宋体"/>
        <family val="3"/>
        <charset val="134"/>
      </rPr>
      <t>泡沫</t>
    </r>
    <phoneticPr fontId="1" type="noConversion"/>
  </si>
  <si>
    <t>AUDI B8</t>
    <phoneticPr fontId="1" type="noConversion"/>
  </si>
  <si>
    <t>支杆</t>
    <phoneticPr fontId="1" type="noConversion"/>
  </si>
  <si>
    <t>宁波</t>
    <phoneticPr fontId="1" type="noConversion"/>
  </si>
  <si>
    <t>扶手总成</t>
    <phoneticPr fontId="1" type="noConversion"/>
  </si>
  <si>
    <t>W66W77</t>
    <phoneticPr fontId="1" type="noConversion"/>
  </si>
  <si>
    <t>头枕总成</t>
    <phoneticPr fontId="1" type="noConversion"/>
  </si>
  <si>
    <t>广州</t>
    <phoneticPr fontId="1" type="noConversion"/>
  </si>
  <si>
    <t>长春</t>
    <phoneticPr fontId="1" type="noConversion"/>
  </si>
  <si>
    <t>长春富维</t>
    <phoneticPr fontId="1" type="noConversion"/>
  </si>
  <si>
    <t>C303</t>
    <phoneticPr fontId="1" type="noConversion"/>
  </si>
  <si>
    <t>头枕，扶手总成</t>
    <phoneticPr fontId="1" type="noConversion"/>
  </si>
  <si>
    <t>武汉泰昌</t>
    <phoneticPr fontId="1" type="noConversion"/>
  </si>
  <si>
    <r>
      <t>B7L</t>
    </r>
    <r>
      <rPr>
        <sz val="9"/>
        <rFont val="宋体"/>
        <family val="3"/>
        <charset val="134"/>
      </rPr>
      <t>导套</t>
    </r>
    <phoneticPr fontId="1" type="noConversion"/>
  </si>
  <si>
    <t>导套</t>
    <phoneticPr fontId="1" type="noConversion"/>
  </si>
  <si>
    <t>头枕总成</t>
    <phoneticPr fontId="1" type="noConversion"/>
  </si>
  <si>
    <t>长春</t>
    <phoneticPr fontId="1" type="noConversion"/>
  </si>
  <si>
    <t>长春李尔</t>
    <phoneticPr fontId="1" type="noConversion"/>
  </si>
  <si>
    <t>长春富维</t>
    <phoneticPr fontId="1" type="noConversion"/>
  </si>
  <si>
    <t>导套</t>
    <phoneticPr fontId="1" type="noConversion"/>
  </si>
  <si>
    <t>宁波</t>
    <phoneticPr fontId="1" type="noConversion"/>
  </si>
  <si>
    <t>头枕总成</t>
    <phoneticPr fontId="1" type="noConversion"/>
  </si>
  <si>
    <t>导套</t>
    <phoneticPr fontId="1" type="noConversion"/>
  </si>
  <si>
    <t>宁波</t>
    <phoneticPr fontId="1" type="noConversion"/>
  </si>
  <si>
    <t>长春富维</t>
    <phoneticPr fontId="1" type="noConversion"/>
  </si>
  <si>
    <t>支杆</t>
    <phoneticPr fontId="1" type="noConversion"/>
  </si>
  <si>
    <t>武汉</t>
    <phoneticPr fontId="1" type="noConversion"/>
  </si>
  <si>
    <r>
      <t>x77</t>
    </r>
    <r>
      <rPr>
        <sz val="9"/>
        <rFont val="宋体"/>
        <family val="3"/>
        <charset val="134"/>
      </rPr>
      <t>头枕</t>
    </r>
    <phoneticPr fontId="1" type="noConversion"/>
  </si>
  <si>
    <t>长春</t>
    <phoneticPr fontId="1" type="noConversion"/>
  </si>
  <si>
    <r>
      <t>P32L</t>
    </r>
    <r>
      <rPr>
        <sz val="9"/>
        <rFont val="宋体"/>
        <family val="3"/>
        <charset val="134"/>
      </rPr>
      <t>（郑州）</t>
    </r>
    <phoneticPr fontId="1" type="noConversion"/>
  </si>
  <si>
    <t>郑州泰新</t>
    <phoneticPr fontId="1" type="noConversion"/>
  </si>
  <si>
    <t>J02C</t>
    <phoneticPr fontId="1" type="noConversion"/>
  </si>
  <si>
    <t>日本泰极</t>
    <phoneticPr fontId="1" type="noConversion"/>
  </si>
  <si>
    <t>NF101</t>
    <phoneticPr fontId="1" type="noConversion"/>
  </si>
  <si>
    <t>武汉东风李尔</t>
    <phoneticPr fontId="1" type="noConversion"/>
  </si>
  <si>
    <t>P32R</t>
    <phoneticPr fontId="1" type="noConversion"/>
  </si>
  <si>
    <t>东风李尔泰新</t>
    <phoneticPr fontId="1" type="noConversion"/>
  </si>
  <si>
    <t>B0</t>
    <phoneticPr fontId="1" type="noConversion"/>
  </si>
  <si>
    <t>斯洛伐克泰弗</t>
    <phoneticPr fontId="1" type="noConversion"/>
  </si>
  <si>
    <t>长春</t>
    <phoneticPr fontId="1" type="noConversion"/>
  </si>
  <si>
    <t>长春富维</t>
    <phoneticPr fontId="1" type="noConversion"/>
  </si>
  <si>
    <t>头枕，扶手总成</t>
    <phoneticPr fontId="1" type="noConversion"/>
  </si>
  <si>
    <t>重庆</t>
    <phoneticPr fontId="1" type="noConversion"/>
  </si>
  <si>
    <r>
      <t>CD391</t>
    </r>
    <r>
      <rPr>
        <sz val="9"/>
        <rFont val="宋体"/>
        <family val="3"/>
        <charset val="134"/>
      </rPr>
      <t>扶手</t>
    </r>
    <phoneticPr fontId="1" type="noConversion"/>
  </si>
  <si>
    <t>扶手总成</t>
    <phoneticPr fontId="1" type="noConversion"/>
  </si>
  <si>
    <t>M6</t>
    <phoneticPr fontId="1" type="noConversion"/>
  </si>
  <si>
    <t>头枕，扶手泡沫</t>
    <phoneticPr fontId="1" type="noConversion"/>
  </si>
  <si>
    <t>长春</t>
    <phoneticPr fontId="1" type="noConversion"/>
  </si>
  <si>
    <t>宁波</t>
  </si>
  <si>
    <t>长春</t>
  </si>
  <si>
    <t>广州</t>
  </si>
  <si>
    <t>武汉</t>
  </si>
  <si>
    <t>成都</t>
  </si>
  <si>
    <t>重庆</t>
  </si>
  <si>
    <t>发泡</t>
  </si>
  <si>
    <t>发泡</t>
    <phoneticPr fontId="1" type="noConversion"/>
  </si>
  <si>
    <t>注塑</t>
    <phoneticPr fontId="1" type="noConversion"/>
  </si>
  <si>
    <t>装配</t>
    <phoneticPr fontId="1" type="noConversion"/>
  </si>
  <si>
    <t>缝纫</t>
    <phoneticPr fontId="1" type="noConversion"/>
  </si>
  <si>
    <t>城市</t>
    <phoneticPr fontId="1" type="noConversion"/>
  </si>
  <si>
    <t>产品</t>
    <phoneticPr fontId="1" type="noConversion"/>
  </si>
  <si>
    <t>求和项:2013</t>
  </si>
  <si>
    <t>求和项:2014</t>
  </si>
  <si>
    <t>求和项:2015</t>
  </si>
  <si>
    <t>行标签</t>
  </si>
  <si>
    <t>总计</t>
  </si>
  <si>
    <t>列标签</t>
  </si>
  <si>
    <t>(全部)</t>
  </si>
  <si>
    <t>2014</t>
  </si>
  <si>
    <t>2015</t>
  </si>
  <si>
    <t>2013</t>
  </si>
  <si>
    <t>工艺</t>
    <phoneticPr fontId="1" type="noConversion"/>
  </si>
  <si>
    <t>PIP</t>
    <phoneticPr fontId="1" type="noConversion"/>
  </si>
  <si>
    <t>头枕，扶手总成</t>
  </si>
  <si>
    <t>扶手泡沫</t>
    <phoneticPr fontId="1" type="noConversion"/>
  </si>
  <si>
    <t>导套</t>
    <phoneticPr fontId="1" type="noConversion"/>
  </si>
  <si>
    <t>导套</t>
    <phoneticPr fontId="1" type="noConversion"/>
  </si>
  <si>
    <r>
      <t>422A</t>
    </r>
    <r>
      <rPr>
        <sz val="9"/>
        <rFont val="宋体"/>
        <family val="3"/>
        <charset val="134"/>
      </rPr>
      <t>导套</t>
    </r>
    <phoneticPr fontId="1" type="noConversion"/>
  </si>
  <si>
    <t>头枕，扶手总成</t>
    <phoneticPr fontId="1" type="noConversion"/>
  </si>
  <si>
    <t>头枕总成</t>
  </si>
  <si>
    <t>支杆出货</t>
    <phoneticPr fontId="1" type="noConversion"/>
  </si>
  <si>
    <t>泡沫出货</t>
    <phoneticPr fontId="1" type="noConversion"/>
  </si>
  <si>
    <t>总成出货</t>
    <phoneticPr fontId="1" type="noConversion"/>
  </si>
  <si>
    <t>头枕，扶手泡沫</t>
    <phoneticPr fontId="1" type="noConversion"/>
  </si>
  <si>
    <t>J61/J61 5HB</t>
    <phoneticPr fontId="1" type="noConversion"/>
  </si>
  <si>
    <t>头枕，扶手总成</t>
    <phoneticPr fontId="1" type="noConversion"/>
  </si>
  <si>
    <t>武汉</t>
    <phoneticPr fontId="1" type="noConversion"/>
  </si>
  <si>
    <t>头枕泡沫</t>
    <phoneticPr fontId="1" type="noConversion"/>
  </si>
  <si>
    <t>头枕包覆</t>
    <phoneticPr fontId="1" type="noConversion"/>
  </si>
  <si>
    <t>武汉</t>
    <phoneticPr fontId="1" type="noConversion"/>
  </si>
  <si>
    <t>头枕，扶手泡沫</t>
    <phoneticPr fontId="1" type="noConversion"/>
  </si>
  <si>
    <r>
      <t>W2</t>
    </r>
    <r>
      <rPr>
        <sz val="9"/>
        <rFont val="宋体"/>
        <family val="3"/>
        <charset val="134"/>
      </rPr>
      <t>支杆</t>
    </r>
    <phoneticPr fontId="1" type="noConversion"/>
  </si>
  <si>
    <t>支杆</t>
    <phoneticPr fontId="1" type="noConversion"/>
  </si>
  <si>
    <t>P32L</t>
    <phoneticPr fontId="1" type="noConversion"/>
  </si>
  <si>
    <t>头枕，扶手总成</t>
    <phoneticPr fontId="1" type="noConversion"/>
  </si>
  <si>
    <t>宁波</t>
    <phoneticPr fontId="1" type="noConversion"/>
  </si>
  <si>
    <r>
      <rPr>
        <sz val="9"/>
        <rFont val="宋体"/>
        <family val="3"/>
        <charset val="134"/>
      </rPr>
      <t>广州泰李</t>
    </r>
    <r>
      <rPr>
        <sz val="9"/>
        <rFont val="Arial"/>
        <family val="2"/>
      </rPr>
      <t>/</t>
    </r>
    <r>
      <rPr>
        <sz val="9"/>
        <rFont val="宋体"/>
        <family val="3"/>
        <charset val="134"/>
      </rPr>
      <t>东李泰</t>
    </r>
    <phoneticPr fontId="1" type="noConversion"/>
  </si>
  <si>
    <t>扶手泡沫</t>
    <phoneticPr fontId="1" type="noConversion"/>
  </si>
  <si>
    <r>
      <t>238L</t>
    </r>
    <r>
      <rPr>
        <sz val="9"/>
        <rFont val="宋体"/>
        <family val="3"/>
        <charset val="134"/>
      </rPr>
      <t>支杆</t>
    </r>
    <phoneticPr fontId="1" type="noConversion"/>
  </si>
  <si>
    <t>长春</t>
    <phoneticPr fontId="1" type="noConversion"/>
  </si>
  <si>
    <t>长春富维</t>
    <phoneticPr fontId="1" type="noConversion"/>
  </si>
  <si>
    <t>头枕总成</t>
    <phoneticPr fontId="1" type="noConversion"/>
  </si>
  <si>
    <t>广州</t>
    <phoneticPr fontId="1" type="noConversion"/>
  </si>
  <si>
    <t>支杆</t>
    <phoneticPr fontId="1" type="noConversion"/>
  </si>
  <si>
    <t>宁波</t>
    <phoneticPr fontId="1" type="noConversion"/>
  </si>
  <si>
    <t>门板扶手总成</t>
    <phoneticPr fontId="1" type="noConversion"/>
  </si>
  <si>
    <t>支杆</t>
    <phoneticPr fontId="1" type="noConversion"/>
  </si>
  <si>
    <t>宁波</t>
    <phoneticPr fontId="1" type="noConversion"/>
  </si>
  <si>
    <t>AC</t>
    <phoneticPr fontId="1" type="noConversion"/>
  </si>
  <si>
    <t>扶手总成</t>
    <phoneticPr fontId="1" type="noConversion"/>
  </si>
  <si>
    <t>宁波</t>
    <phoneticPr fontId="1" type="noConversion"/>
  </si>
  <si>
    <t>武汉</t>
    <phoneticPr fontId="1" type="noConversion"/>
  </si>
  <si>
    <t>头枕泡沫</t>
    <phoneticPr fontId="1" type="noConversion"/>
  </si>
  <si>
    <t>广州</t>
    <phoneticPr fontId="1" type="noConversion"/>
  </si>
  <si>
    <t>广州泰李</t>
    <phoneticPr fontId="1" type="noConversion"/>
  </si>
  <si>
    <t>头枕，扶手，侧翼</t>
    <phoneticPr fontId="1" type="noConversion"/>
  </si>
  <si>
    <t>长春</t>
    <phoneticPr fontId="1" type="noConversion"/>
  </si>
  <si>
    <t>长春富维丰田纺织</t>
    <phoneticPr fontId="1" type="noConversion"/>
  </si>
  <si>
    <t>扶手总成</t>
    <phoneticPr fontId="1" type="noConversion"/>
  </si>
  <si>
    <t>广州</t>
    <phoneticPr fontId="1" type="noConversion"/>
  </si>
  <si>
    <t>X11Q</t>
    <phoneticPr fontId="1" type="noConversion"/>
  </si>
  <si>
    <t>头枕总成</t>
    <phoneticPr fontId="1" type="noConversion"/>
  </si>
  <si>
    <t>广州泰李</t>
    <phoneticPr fontId="1" type="noConversion"/>
  </si>
  <si>
    <t>支杆</t>
    <phoneticPr fontId="1" type="noConversion"/>
  </si>
  <si>
    <t>头枕总成</t>
    <phoneticPr fontId="1" type="noConversion"/>
  </si>
  <si>
    <t>AUDI X88</t>
    <phoneticPr fontId="1" type="noConversion"/>
  </si>
  <si>
    <t>头枕总成</t>
    <phoneticPr fontId="1" type="noConversion"/>
  </si>
  <si>
    <t>长春</t>
    <phoneticPr fontId="1" type="noConversion"/>
  </si>
  <si>
    <t>长春富维</t>
    <phoneticPr fontId="1" type="noConversion"/>
  </si>
  <si>
    <t>客户</t>
    <phoneticPr fontId="1" type="noConversion"/>
  </si>
  <si>
    <t>P32R</t>
  </si>
  <si>
    <t>东风李尔泰新</t>
  </si>
  <si>
    <t>W66W77</t>
    <phoneticPr fontId="1" type="noConversion"/>
  </si>
  <si>
    <t>头枕总成</t>
    <phoneticPr fontId="1" type="noConversion"/>
  </si>
  <si>
    <t>Total</t>
    <phoneticPr fontId="1" type="noConversion"/>
  </si>
  <si>
    <t>比率</t>
    <phoneticPr fontId="1" type="noConversion"/>
  </si>
  <si>
    <t>项目</t>
    <phoneticPr fontId="1" type="noConversion"/>
  </si>
  <si>
    <t>产品</t>
    <phoneticPr fontId="1" type="noConversion"/>
  </si>
  <si>
    <t>缝纫</t>
    <phoneticPr fontId="1" type="noConversion"/>
  </si>
  <si>
    <t>PIP</t>
    <phoneticPr fontId="1" type="noConversion"/>
  </si>
  <si>
    <t>宁波现有产能（万）</t>
    <phoneticPr fontId="1" type="noConversion"/>
  </si>
  <si>
    <t>高尔夫A7</t>
  </si>
  <si>
    <t>长春富维</t>
  </si>
  <si>
    <t>头枕总成</t>
    <phoneticPr fontId="1" type="noConversion"/>
  </si>
  <si>
    <t>成都</t>
    <phoneticPr fontId="1" type="noConversion"/>
  </si>
  <si>
    <t>宁波短支杆</t>
    <phoneticPr fontId="1" type="noConversion"/>
  </si>
  <si>
    <t>宁波长支杆</t>
    <phoneticPr fontId="1" type="noConversion"/>
  </si>
  <si>
    <t>短支杆</t>
    <phoneticPr fontId="1" type="noConversion"/>
  </si>
  <si>
    <t>长支杆</t>
    <phoneticPr fontId="1" type="noConversion"/>
  </si>
  <si>
    <t>万根</t>
    <phoneticPr fontId="1" type="noConversion"/>
  </si>
  <si>
    <t>万个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</si>
</sst>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_ * #,##0_ ;_ * \-#,##0_ ;_ * &quot;-&quot;??_ ;_ @_ "/>
    <numFmt numFmtId="177" formatCode="#,##0_);[Red]\(#,##0\)"/>
    <numFmt numFmtId="178" formatCode="0_ "/>
  </numFmts>
  <fonts count="4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color theme="1"/>
      <name val="Arial"/>
      <family val="2"/>
    </font>
    <font>
      <b/>
      <sz val="9"/>
      <color theme="1"/>
      <name val="宋体"/>
      <family val="3"/>
      <charset val="134"/>
    </font>
    <font>
      <sz val="9"/>
      <color rgb="FFFF0000"/>
      <name val="Arial"/>
      <family val="2"/>
    </font>
    <font>
      <sz val="10"/>
      <name val="Arial"/>
      <family val="2"/>
    </font>
    <font>
      <sz val="12"/>
      <name val="宋体"/>
      <family val="3"/>
      <charset val="134"/>
    </font>
    <font>
      <sz val="11"/>
      <color theme="0"/>
      <name val="宋体"/>
      <family val="2"/>
      <charset val="134"/>
      <scheme val="minor"/>
    </font>
    <font>
      <sz val="8"/>
      <color theme="1"/>
      <name val="Arial"/>
      <family val="2"/>
    </font>
    <font>
      <sz val="8"/>
      <color theme="1"/>
      <name val="宋体"/>
      <family val="3"/>
      <charset val="134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8"/>
      <name val="宋体"/>
      <family val="3"/>
      <charset val="134"/>
    </font>
    <font>
      <b/>
      <sz val="8"/>
      <name val="Arial"/>
      <family val="2"/>
    </font>
    <font>
      <i/>
      <sz val="8"/>
      <name val="Arial"/>
      <family val="2"/>
    </font>
    <font>
      <sz val="8"/>
      <color rgb="FFFF0000"/>
      <name val="Arial"/>
      <family val="2"/>
    </font>
    <font>
      <i/>
      <sz val="8"/>
      <color theme="1"/>
      <name val="Arial"/>
      <family val="2"/>
    </font>
    <font>
      <b/>
      <sz val="18"/>
      <color theme="1"/>
      <name val="宋体"/>
      <family val="3"/>
      <charset val="134"/>
      <scheme val="minor"/>
    </font>
    <font>
      <sz val="8"/>
      <color theme="0"/>
      <name val="宋体"/>
      <family val="3"/>
      <charset val="134"/>
    </font>
    <font>
      <sz val="8"/>
      <color theme="0"/>
      <name val="Arial"/>
      <family val="2"/>
    </font>
    <font>
      <b/>
      <sz val="8"/>
      <color theme="0"/>
      <name val="宋体"/>
      <family val="3"/>
      <charset val="134"/>
    </font>
    <font>
      <b/>
      <sz val="8"/>
      <color theme="0"/>
      <name val="Arial"/>
      <family val="2"/>
    </font>
    <font>
      <sz val="9"/>
      <color theme="0"/>
      <name val="Arial"/>
      <family val="2"/>
    </font>
    <font>
      <sz val="9"/>
      <color theme="0"/>
      <name val="宋体"/>
      <family val="2"/>
      <charset val="134"/>
    </font>
    <font>
      <sz val="9"/>
      <color theme="0"/>
      <name val="宋体"/>
      <family val="3"/>
      <charset val="134"/>
    </font>
    <font>
      <sz val="10"/>
      <color theme="0"/>
      <name val="Arial"/>
      <family val="2"/>
    </font>
    <font>
      <sz val="10"/>
      <color theme="0"/>
      <name val="宋体"/>
      <family val="2"/>
      <charset val="134"/>
    </font>
    <font>
      <sz val="10"/>
      <color theme="0"/>
      <name val="宋体"/>
      <family val="3"/>
      <charset val="134"/>
    </font>
    <font>
      <sz val="9"/>
      <color theme="1"/>
      <name val="宋体"/>
      <family val="2"/>
      <charset val="134"/>
    </font>
    <font>
      <sz val="9"/>
      <name val="Arial"/>
      <family val="2"/>
    </font>
    <font>
      <sz val="9"/>
      <name val="宋体"/>
      <family val="3"/>
      <charset val="134"/>
    </font>
    <font>
      <sz val="9"/>
      <color theme="1"/>
      <name val="宋体"/>
      <family val="3"/>
      <charset val="134"/>
    </font>
    <font>
      <i/>
      <sz val="9"/>
      <name val="Arial"/>
      <family val="2"/>
    </font>
    <font>
      <b/>
      <sz val="9"/>
      <name val="宋体"/>
      <family val="3"/>
      <charset val="134"/>
    </font>
    <font>
      <b/>
      <sz val="9"/>
      <color theme="1"/>
      <name val="Arial"/>
      <family val="2"/>
    </font>
    <font>
      <sz val="8"/>
      <color theme="1"/>
      <name val="Arial Unicode MS"/>
      <family val="2"/>
      <charset val="134"/>
    </font>
    <font>
      <sz val="8"/>
      <name val="Arial Unicode MS"/>
      <family val="2"/>
      <charset val="134"/>
    </font>
    <font>
      <sz val="8"/>
      <color theme="0"/>
      <name val="Arial Unicode MS"/>
      <family val="2"/>
      <charset val="134"/>
    </font>
    <font>
      <sz val="9"/>
      <color rgb="FFFF0000"/>
      <name val="宋体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</borders>
  <cellStyleXfs count="1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429">
    <xf numFmtId="0" fontId="0" fillId="0" borderId="0" xfId="0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176" fontId="3" fillId="2" borderId="0" xfId="1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left" vertical="center"/>
    </xf>
    <xf numFmtId="0" fontId="9" fillId="0" borderId="5" xfId="0" applyFont="1" applyFill="1" applyBorder="1" applyAlignment="1">
      <alignment horizontal="left" vertical="center"/>
    </xf>
    <xf numFmtId="0" fontId="13" fillId="0" borderId="5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176" fontId="9" fillId="2" borderId="0" xfId="1" applyNumberFormat="1" applyFont="1" applyFill="1" applyBorder="1" applyAlignment="1">
      <alignment horizontal="center" vertical="center"/>
    </xf>
    <xf numFmtId="176" fontId="9" fillId="2" borderId="23" xfId="1" applyNumberFormat="1" applyFont="1" applyFill="1" applyBorder="1" applyAlignment="1">
      <alignment horizontal="center" vertical="center"/>
    </xf>
    <xf numFmtId="176" fontId="9" fillId="2" borderId="24" xfId="1" applyNumberFormat="1" applyFont="1" applyFill="1" applyBorder="1" applyAlignment="1">
      <alignment horizontal="center" vertical="center"/>
    </xf>
    <xf numFmtId="176" fontId="9" fillId="2" borderId="26" xfId="1" applyNumberFormat="1" applyFont="1" applyFill="1" applyBorder="1" applyAlignment="1">
      <alignment horizontal="center" vertical="center"/>
    </xf>
    <xf numFmtId="176" fontId="9" fillId="2" borderId="12" xfId="1" applyNumberFormat="1" applyFont="1" applyFill="1" applyBorder="1" applyAlignment="1">
      <alignment horizontal="center" vertical="center"/>
    </xf>
    <xf numFmtId="176" fontId="9" fillId="2" borderId="28" xfId="1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/>
    </xf>
    <xf numFmtId="0" fontId="23" fillId="3" borderId="19" xfId="6" applyFont="1" applyBorder="1" applyAlignment="1">
      <alignment vertical="center" textRotation="75"/>
    </xf>
    <xf numFmtId="0" fontId="23" fillId="3" borderId="38" xfId="6" applyFont="1" applyBorder="1" applyAlignment="1">
      <alignment horizontal="center" vertical="center"/>
    </xf>
    <xf numFmtId="177" fontId="13" fillId="2" borderId="1" xfId="1" applyNumberFormat="1" applyFont="1" applyFill="1" applyBorder="1" applyAlignment="1">
      <alignment horizontal="right" vertical="center"/>
    </xf>
    <xf numFmtId="177" fontId="13" fillId="2" borderId="2" xfId="0" applyNumberFormat="1" applyFont="1" applyFill="1" applyBorder="1" applyAlignment="1">
      <alignment horizontal="right" vertical="center"/>
    </xf>
    <xf numFmtId="177" fontId="13" fillId="2" borderId="4" xfId="1" applyNumberFormat="1" applyFont="1" applyFill="1" applyBorder="1" applyAlignment="1">
      <alignment horizontal="right" vertical="center"/>
    </xf>
    <xf numFmtId="177" fontId="13" fillId="2" borderId="5" xfId="1" applyNumberFormat="1" applyFont="1" applyFill="1" applyBorder="1" applyAlignment="1">
      <alignment horizontal="right" vertical="center"/>
    </xf>
    <xf numFmtId="177" fontId="13" fillId="2" borderId="30" xfId="1" applyNumberFormat="1" applyFont="1" applyFill="1" applyBorder="1" applyAlignment="1">
      <alignment horizontal="right" vertical="center"/>
    </xf>
    <xf numFmtId="177" fontId="13" fillId="2" borderId="31" xfId="1" applyNumberFormat="1" applyFont="1" applyFill="1" applyBorder="1" applyAlignment="1">
      <alignment horizontal="right" vertical="center"/>
    </xf>
    <xf numFmtId="177" fontId="13" fillId="2" borderId="32" xfId="7" applyNumberFormat="1" applyFont="1" applyFill="1" applyBorder="1" applyAlignment="1">
      <alignment horizontal="right" vertical="center"/>
    </xf>
    <xf numFmtId="177" fontId="13" fillId="2" borderId="33" xfId="7" applyNumberFormat="1" applyFont="1" applyFill="1" applyBorder="1" applyAlignment="1">
      <alignment horizontal="right" vertical="center"/>
    </xf>
    <xf numFmtId="177" fontId="13" fillId="2" borderId="4" xfId="7" applyNumberFormat="1" applyFont="1" applyFill="1" applyBorder="1" applyAlignment="1">
      <alignment horizontal="right" vertical="center"/>
    </xf>
    <xf numFmtId="177" fontId="13" fillId="2" borderId="5" xfId="7" applyNumberFormat="1" applyFont="1" applyFill="1" applyBorder="1" applyAlignment="1">
      <alignment horizontal="right" vertical="center"/>
    </xf>
    <xf numFmtId="177" fontId="13" fillId="2" borderId="30" xfId="7" applyNumberFormat="1" applyFont="1" applyFill="1" applyBorder="1" applyAlignment="1">
      <alignment horizontal="right" vertical="center"/>
    </xf>
    <xf numFmtId="177" fontId="13" fillId="2" borderId="31" xfId="7" applyNumberFormat="1" applyFont="1" applyFill="1" applyBorder="1" applyAlignment="1">
      <alignment horizontal="right" vertical="center"/>
    </xf>
    <xf numFmtId="177" fontId="13" fillId="2" borderId="32" xfId="8" applyNumberFormat="1" applyFont="1" applyFill="1" applyBorder="1" applyAlignment="1">
      <alignment horizontal="right" vertical="center"/>
    </xf>
    <xf numFmtId="177" fontId="13" fillId="2" borderId="33" xfId="8" applyNumberFormat="1" applyFont="1" applyFill="1" applyBorder="1" applyAlignment="1">
      <alignment horizontal="right" vertical="center"/>
    </xf>
    <xf numFmtId="177" fontId="13" fillId="2" borderId="4" xfId="8" applyNumberFormat="1" applyFont="1" applyFill="1" applyBorder="1" applyAlignment="1">
      <alignment horizontal="right" vertical="center"/>
    </xf>
    <xf numFmtId="177" fontId="13" fillId="2" borderId="5" xfId="8" applyNumberFormat="1" applyFont="1" applyFill="1" applyBorder="1" applyAlignment="1">
      <alignment horizontal="right" vertical="center"/>
    </xf>
    <xf numFmtId="177" fontId="13" fillId="2" borderId="36" xfId="8" applyNumberFormat="1" applyFont="1" applyFill="1" applyBorder="1" applyAlignment="1">
      <alignment horizontal="right" vertical="center"/>
    </xf>
    <xf numFmtId="177" fontId="13" fillId="2" borderId="37" xfId="8" applyNumberFormat="1" applyFont="1" applyFill="1" applyBorder="1" applyAlignment="1">
      <alignment horizontal="right" vertical="center"/>
    </xf>
    <xf numFmtId="177" fontId="13" fillId="2" borderId="34" xfId="6" applyNumberFormat="1" applyFont="1" applyFill="1" applyBorder="1" applyAlignment="1">
      <alignment horizontal="right" vertical="center"/>
    </xf>
    <xf numFmtId="177" fontId="13" fillId="2" borderId="35" xfId="6" applyNumberFormat="1" applyFont="1" applyFill="1" applyBorder="1" applyAlignment="1">
      <alignment horizontal="right" vertical="center"/>
    </xf>
    <xf numFmtId="177" fontId="13" fillId="2" borderId="4" xfId="6" applyNumberFormat="1" applyFont="1" applyFill="1" applyBorder="1" applyAlignment="1">
      <alignment horizontal="right" vertical="center"/>
    </xf>
    <xf numFmtId="177" fontId="13" fillId="2" borderId="5" xfId="6" applyNumberFormat="1" applyFont="1" applyFill="1" applyBorder="1" applyAlignment="1">
      <alignment horizontal="right" vertical="center"/>
    </xf>
    <xf numFmtId="177" fontId="13" fillId="2" borderId="30" xfId="6" applyNumberFormat="1" applyFont="1" applyFill="1" applyBorder="1" applyAlignment="1">
      <alignment horizontal="right" vertical="center"/>
    </xf>
    <xf numFmtId="177" fontId="13" fillId="2" borderId="31" xfId="6" applyNumberFormat="1" applyFont="1" applyFill="1" applyBorder="1" applyAlignment="1">
      <alignment horizontal="right" vertical="center"/>
    </xf>
    <xf numFmtId="177" fontId="13" fillId="2" borderId="32" xfId="9" applyNumberFormat="1" applyFont="1" applyFill="1" applyBorder="1" applyAlignment="1">
      <alignment horizontal="right" vertical="center"/>
    </xf>
    <xf numFmtId="177" fontId="13" fillId="2" borderId="33" xfId="9" applyNumberFormat="1" applyFont="1" applyFill="1" applyBorder="1" applyAlignment="1">
      <alignment horizontal="right" vertical="center"/>
    </xf>
    <xf numFmtId="177" fontId="13" fillId="2" borderId="4" xfId="9" applyNumberFormat="1" applyFont="1" applyFill="1" applyBorder="1" applyAlignment="1">
      <alignment horizontal="right" vertical="center"/>
    </xf>
    <xf numFmtId="177" fontId="13" fillId="2" borderId="5" xfId="9" applyNumberFormat="1" applyFont="1" applyFill="1" applyBorder="1" applyAlignment="1">
      <alignment horizontal="right" vertical="center"/>
    </xf>
    <xf numFmtId="177" fontId="13" fillId="2" borderId="36" xfId="9" applyNumberFormat="1" applyFont="1" applyFill="1" applyBorder="1" applyAlignment="1">
      <alignment horizontal="right" vertical="center"/>
    </xf>
    <xf numFmtId="177" fontId="13" fillId="2" borderId="37" xfId="9" applyNumberFormat="1" applyFont="1" applyFill="1" applyBorder="1" applyAlignment="1">
      <alignment horizontal="right" vertical="center"/>
    </xf>
    <xf numFmtId="177" fontId="13" fillId="2" borderId="34" xfId="10" applyNumberFormat="1" applyFont="1" applyFill="1" applyBorder="1" applyAlignment="1">
      <alignment horizontal="right" vertical="center"/>
    </xf>
    <xf numFmtId="177" fontId="13" fillId="2" borderId="35" xfId="10" applyNumberFormat="1" applyFont="1" applyFill="1" applyBorder="1" applyAlignment="1">
      <alignment horizontal="right" vertical="center"/>
    </xf>
    <xf numFmtId="177" fontId="13" fillId="2" borderId="7" xfId="10" applyNumberFormat="1" applyFont="1" applyFill="1" applyBorder="1" applyAlignment="1">
      <alignment horizontal="right" vertical="center"/>
    </xf>
    <xf numFmtId="177" fontId="13" fillId="2" borderId="8" xfId="10" applyNumberFormat="1" applyFont="1" applyFill="1" applyBorder="1" applyAlignment="1">
      <alignment horizontal="right" vertical="center"/>
    </xf>
    <xf numFmtId="0" fontId="21" fillId="2" borderId="0" xfId="6" applyFont="1" applyFill="1" applyBorder="1" applyAlignment="1">
      <alignment horizontal="right" vertical="center"/>
    </xf>
    <xf numFmtId="0" fontId="13" fillId="9" borderId="4" xfId="0" applyFont="1" applyFill="1" applyBorder="1" applyAlignment="1">
      <alignment horizontal="left" vertical="center"/>
    </xf>
    <xf numFmtId="0" fontId="9" fillId="9" borderId="5" xfId="0" applyFont="1" applyFill="1" applyBorder="1" applyAlignment="1">
      <alignment horizontal="left" vertical="center"/>
    </xf>
    <xf numFmtId="0" fontId="13" fillId="9" borderId="5" xfId="0" applyFont="1" applyFill="1" applyBorder="1" applyAlignment="1">
      <alignment horizontal="left" vertical="center"/>
    </xf>
    <xf numFmtId="177" fontId="13" fillId="0" borderId="5" xfId="1" applyNumberFormat="1" applyFont="1" applyFill="1" applyBorder="1" applyAlignment="1">
      <alignment horizontal="right" vertical="center"/>
    </xf>
    <xf numFmtId="177" fontId="9" fillId="2" borderId="5" xfId="0" applyNumberFormat="1" applyFont="1" applyFill="1" applyBorder="1" applyAlignment="1">
      <alignment horizontal="right" vertical="center"/>
    </xf>
    <xf numFmtId="177" fontId="13" fillId="9" borderId="5" xfId="1" applyNumberFormat="1" applyFont="1" applyFill="1" applyBorder="1" applyAlignment="1">
      <alignment horizontal="right" vertical="center"/>
    </xf>
    <xf numFmtId="177" fontId="9" fillId="9" borderId="5" xfId="0" applyNumberFormat="1" applyFont="1" applyFill="1" applyBorder="1" applyAlignment="1">
      <alignment horizontal="right" vertical="center"/>
    </xf>
    <xf numFmtId="177" fontId="15" fillId="9" borderId="5" xfId="1" applyNumberFormat="1" applyFont="1" applyFill="1" applyBorder="1" applyAlignment="1">
      <alignment horizontal="right" vertical="center"/>
    </xf>
    <xf numFmtId="177" fontId="11" fillId="9" borderId="5" xfId="0" applyNumberFormat="1" applyFont="1" applyFill="1" applyBorder="1" applyAlignment="1">
      <alignment horizontal="right" vertical="center"/>
    </xf>
    <xf numFmtId="177" fontId="16" fillId="0" borderId="5" xfId="1" applyNumberFormat="1" applyFont="1" applyFill="1" applyBorder="1" applyAlignment="1">
      <alignment horizontal="right" vertical="center"/>
    </xf>
    <xf numFmtId="177" fontId="13" fillId="0" borderId="8" xfId="1" applyNumberFormat="1" applyFont="1" applyFill="1" applyBorder="1" applyAlignment="1">
      <alignment horizontal="right" vertical="center"/>
    </xf>
    <xf numFmtId="177" fontId="9" fillId="10" borderId="5" xfId="0" applyNumberFormat="1" applyFont="1" applyFill="1" applyBorder="1" applyAlignment="1">
      <alignment horizontal="right" vertical="center"/>
    </xf>
    <xf numFmtId="177" fontId="13" fillId="10" borderId="5" xfId="1" applyNumberFormat="1" applyFont="1" applyFill="1" applyBorder="1" applyAlignment="1">
      <alignment horizontal="right" vertical="center"/>
    </xf>
    <xf numFmtId="177" fontId="13" fillId="9" borderId="5" xfId="0" applyNumberFormat="1" applyFont="1" applyFill="1" applyBorder="1" applyAlignment="1">
      <alignment horizontal="right" vertical="center"/>
    </xf>
    <xf numFmtId="177" fontId="9" fillId="0" borderId="5" xfId="0" applyNumberFormat="1" applyFont="1" applyFill="1" applyBorder="1" applyAlignment="1">
      <alignment horizontal="right" vertical="center"/>
    </xf>
    <xf numFmtId="0" fontId="23" fillId="3" borderId="23" xfId="6" applyFont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177" fontId="13" fillId="0" borderId="2" xfId="1" applyNumberFormat="1" applyFont="1" applyFill="1" applyBorder="1" applyAlignment="1">
      <alignment horizontal="right" vertical="center"/>
    </xf>
    <xf numFmtId="177" fontId="9" fillId="10" borderId="2" xfId="0" applyNumberFormat="1" applyFont="1" applyFill="1" applyBorder="1" applyAlignment="1">
      <alignment horizontal="right" vertical="center"/>
    </xf>
    <xf numFmtId="0" fontId="13" fillId="9" borderId="11" xfId="0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13" fillId="0" borderId="10" xfId="0" applyFont="1" applyFill="1" applyBorder="1" applyAlignment="1">
      <alignment horizontal="left" vertical="center"/>
    </xf>
    <xf numFmtId="0" fontId="13" fillId="0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textRotation="75"/>
    </xf>
    <xf numFmtId="0" fontId="9" fillId="0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left" vertical="center"/>
    </xf>
    <xf numFmtId="177" fontId="13" fillId="2" borderId="0" xfId="1" applyNumberFormat="1" applyFont="1" applyFill="1" applyBorder="1" applyAlignment="1">
      <alignment horizontal="right" vertical="center"/>
    </xf>
    <xf numFmtId="0" fontId="27" fillId="3" borderId="22" xfId="6" applyFont="1" applyBorder="1" applyAlignment="1">
      <alignment horizontal="right" vertical="center"/>
    </xf>
    <xf numFmtId="0" fontId="27" fillId="3" borderId="25" xfId="6" applyFont="1" applyBorder="1" applyAlignment="1">
      <alignment horizontal="right" vertical="center"/>
    </xf>
    <xf numFmtId="0" fontId="27" fillId="3" borderId="27" xfId="6" applyFont="1" applyBorder="1" applyAlignment="1">
      <alignment horizontal="right" vertical="center"/>
    </xf>
    <xf numFmtId="0" fontId="10" fillId="9" borderId="5" xfId="0" applyFont="1" applyFill="1" applyBorder="1" applyAlignment="1">
      <alignment horizontal="left" vertical="center" wrapText="1"/>
    </xf>
    <xf numFmtId="0" fontId="9" fillId="2" borderId="23" xfId="1" applyNumberFormat="1" applyFont="1" applyFill="1" applyBorder="1" applyAlignment="1">
      <alignment horizontal="center" vertical="center"/>
    </xf>
    <xf numFmtId="0" fontId="9" fillId="2" borderId="24" xfId="1" applyNumberFormat="1" applyFont="1" applyFill="1" applyBorder="1" applyAlignment="1">
      <alignment horizontal="center" vertical="center"/>
    </xf>
    <xf numFmtId="0" fontId="29" fillId="3" borderId="22" xfId="6" applyFont="1" applyBorder="1" applyAlignment="1">
      <alignment horizontal="right" vertical="center"/>
    </xf>
    <xf numFmtId="0" fontId="0" fillId="0" borderId="22" xfId="0" applyBorder="1">
      <alignment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26" xfId="0" applyFont="1" applyBorder="1">
      <alignment vertical="center"/>
    </xf>
    <xf numFmtId="0" fontId="3" fillId="0" borderId="27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28" xfId="0" applyFont="1" applyBorder="1">
      <alignment vertical="center"/>
    </xf>
    <xf numFmtId="0" fontId="3" fillId="0" borderId="22" xfId="0" applyFont="1" applyBorder="1">
      <alignment vertical="center"/>
    </xf>
    <xf numFmtId="177" fontId="13" fillId="2" borderId="39" xfId="8" applyNumberFormat="1" applyFont="1" applyFill="1" applyBorder="1" applyAlignment="1">
      <alignment horizontal="right" vertical="center"/>
    </xf>
    <xf numFmtId="177" fontId="13" fillId="2" borderId="6" xfId="8" applyNumberFormat="1" applyFont="1" applyFill="1" applyBorder="1" applyAlignment="1">
      <alignment horizontal="right" vertical="center"/>
    </xf>
    <xf numFmtId="177" fontId="13" fillId="2" borderId="7" xfId="8" applyNumberFormat="1" applyFont="1" applyFill="1" applyBorder="1" applyAlignment="1">
      <alignment horizontal="right" vertical="center"/>
    </xf>
    <xf numFmtId="177" fontId="13" fillId="2" borderId="8" xfId="8" applyNumberFormat="1" applyFont="1" applyFill="1" applyBorder="1" applyAlignment="1">
      <alignment horizontal="right" vertical="center"/>
    </xf>
    <xf numFmtId="177" fontId="13" fillId="2" borderId="9" xfId="8" applyNumberFormat="1" applyFont="1" applyFill="1" applyBorder="1" applyAlignment="1">
      <alignment horizontal="right" vertical="center"/>
    </xf>
    <xf numFmtId="0" fontId="30" fillId="0" borderId="25" xfId="0" applyFont="1" applyBorder="1">
      <alignment vertical="center"/>
    </xf>
    <xf numFmtId="0" fontId="30" fillId="0" borderId="27" xfId="0" applyFont="1" applyBorder="1">
      <alignment vertical="center"/>
    </xf>
    <xf numFmtId="177" fontId="13" fillId="2" borderId="40" xfId="6" applyNumberFormat="1" applyFont="1" applyFill="1" applyBorder="1" applyAlignment="1">
      <alignment horizontal="right" vertical="center"/>
    </xf>
    <xf numFmtId="177" fontId="13" fillId="2" borderId="6" xfId="6" applyNumberFormat="1" applyFont="1" applyFill="1" applyBorder="1" applyAlignment="1">
      <alignment horizontal="right" vertical="center"/>
    </xf>
    <xf numFmtId="177" fontId="13" fillId="2" borderId="7" xfId="6" applyNumberFormat="1" applyFont="1" applyFill="1" applyBorder="1" applyAlignment="1">
      <alignment horizontal="right" vertical="center"/>
    </xf>
    <xf numFmtId="177" fontId="13" fillId="2" borderId="8" xfId="6" applyNumberFormat="1" applyFont="1" applyFill="1" applyBorder="1" applyAlignment="1">
      <alignment horizontal="right" vertical="center"/>
    </xf>
    <xf numFmtId="177" fontId="13" fillId="2" borderId="9" xfId="6" applyNumberFormat="1" applyFont="1" applyFill="1" applyBorder="1" applyAlignment="1">
      <alignment horizontal="right" vertical="center"/>
    </xf>
    <xf numFmtId="177" fontId="13" fillId="2" borderId="40" xfId="10" applyNumberFormat="1" applyFont="1" applyFill="1" applyBorder="1" applyAlignment="1">
      <alignment horizontal="right" vertical="center"/>
    </xf>
    <xf numFmtId="177" fontId="13" fillId="2" borderId="9" xfId="10" applyNumberFormat="1" applyFont="1" applyFill="1" applyBorder="1" applyAlignment="1">
      <alignment horizontal="right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23" fillId="3" borderId="21" xfId="6" applyFont="1" applyBorder="1" applyAlignment="1">
      <alignment vertical="center" textRotation="75"/>
    </xf>
    <xf numFmtId="177" fontId="9" fillId="10" borderId="3" xfId="0" applyNumberFormat="1" applyFont="1" applyFill="1" applyBorder="1" applyAlignment="1">
      <alignment horizontal="right" vertical="center"/>
    </xf>
    <xf numFmtId="177" fontId="9" fillId="2" borderId="6" xfId="0" applyNumberFormat="1" applyFont="1" applyFill="1" applyBorder="1" applyAlignment="1">
      <alignment horizontal="right" vertical="center"/>
    </xf>
    <xf numFmtId="177" fontId="9" fillId="9" borderId="6" xfId="0" applyNumberFormat="1" applyFont="1" applyFill="1" applyBorder="1" applyAlignment="1">
      <alignment horizontal="right" vertical="center"/>
    </xf>
    <xf numFmtId="177" fontId="13" fillId="0" borderId="6" xfId="1" applyNumberFormat="1" applyFont="1" applyFill="1" applyBorder="1" applyAlignment="1">
      <alignment horizontal="right" vertical="center"/>
    </xf>
    <xf numFmtId="177" fontId="9" fillId="0" borderId="6" xfId="0" applyNumberFormat="1" applyFont="1" applyFill="1" applyBorder="1" applyAlignment="1">
      <alignment horizontal="right" vertical="center"/>
    </xf>
    <xf numFmtId="177" fontId="9" fillId="10" borderId="6" xfId="0" applyNumberFormat="1" applyFont="1" applyFill="1" applyBorder="1" applyAlignment="1">
      <alignment horizontal="right" vertical="center"/>
    </xf>
    <xf numFmtId="177" fontId="11" fillId="9" borderId="6" xfId="0" applyNumberFormat="1" applyFont="1" applyFill="1" applyBorder="1" applyAlignment="1">
      <alignment horizontal="right" vertical="center"/>
    </xf>
    <xf numFmtId="177" fontId="13" fillId="9" borderId="6" xfId="1" applyNumberFormat="1" applyFont="1" applyFill="1" applyBorder="1" applyAlignment="1">
      <alignment horizontal="right" vertical="center"/>
    </xf>
    <xf numFmtId="177" fontId="13" fillId="10" borderId="6" xfId="1" applyNumberFormat="1" applyFont="1" applyFill="1" applyBorder="1" applyAlignment="1">
      <alignment horizontal="right" vertical="center"/>
    </xf>
    <xf numFmtId="177" fontId="16" fillId="0" borderId="6" xfId="1" applyNumberFormat="1" applyFont="1" applyFill="1" applyBorder="1" applyAlignment="1">
      <alignment horizontal="right" vertical="center"/>
    </xf>
    <xf numFmtId="177" fontId="13" fillId="9" borderId="6" xfId="0" applyNumberFormat="1" applyFont="1" applyFill="1" applyBorder="1" applyAlignment="1">
      <alignment horizontal="right" vertical="center"/>
    </xf>
    <xf numFmtId="177" fontId="13" fillId="0" borderId="9" xfId="1" applyNumberFormat="1" applyFont="1" applyFill="1" applyBorder="1" applyAlignment="1">
      <alignment horizontal="right" vertical="center"/>
    </xf>
    <xf numFmtId="0" fontId="14" fillId="0" borderId="11" xfId="0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left" vertical="center"/>
    </xf>
    <xf numFmtId="0" fontId="14" fillId="9" borderId="11" xfId="0" applyFont="1" applyFill="1" applyBorder="1" applyAlignment="1">
      <alignment horizontal="left" vertical="center"/>
    </xf>
    <xf numFmtId="0" fontId="14" fillId="0" borderId="10" xfId="0" applyFont="1" applyFill="1" applyBorder="1" applyAlignment="1">
      <alignment horizontal="left" vertical="center"/>
    </xf>
    <xf numFmtId="177" fontId="26" fillId="8" borderId="5" xfId="0" applyNumberFormat="1" applyFont="1" applyFill="1" applyBorder="1" applyAlignment="1">
      <alignment horizontal="left" vertical="center"/>
    </xf>
    <xf numFmtId="177" fontId="3" fillId="2" borderId="5" xfId="0" applyNumberFormat="1" applyFont="1" applyFill="1" applyBorder="1" applyAlignment="1">
      <alignment horizontal="right" vertical="center"/>
    </xf>
    <xf numFmtId="177" fontId="3" fillId="2" borderId="6" xfId="0" applyNumberFormat="1" applyFont="1" applyFill="1" applyBorder="1" applyAlignment="1">
      <alignment horizontal="right" vertical="center"/>
    </xf>
    <xf numFmtId="177" fontId="26" fillId="8" borderId="1" xfId="0" applyNumberFormat="1" applyFont="1" applyFill="1" applyBorder="1" applyAlignment="1">
      <alignment horizontal="left" vertical="center"/>
    </xf>
    <xf numFmtId="177" fontId="26" fillId="8" borderId="4" xfId="0" applyNumberFormat="1" applyFont="1" applyFill="1" applyBorder="1" applyAlignment="1">
      <alignment horizontal="left" vertical="center"/>
    </xf>
    <xf numFmtId="177" fontId="24" fillId="4" borderId="4" xfId="7" applyNumberFormat="1" applyFont="1" applyBorder="1" applyAlignment="1">
      <alignment horizontal="left" vertical="center"/>
    </xf>
    <xf numFmtId="177" fontId="24" fillId="5" borderId="4" xfId="8" applyNumberFormat="1" applyFont="1" applyBorder="1" applyAlignment="1">
      <alignment horizontal="left" vertical="center"/>
    </xf>
    <xf numFmtId="177" fontId="24" fillId="3" borderId="4" xfId="6" applyNumberFormat="1" applyFont="1" applyBorder="1" applyAlignment="1">
      <alignment horizontal="left" vertical="center"/>
    </xf>
    <xf numFmtId="177" fontId="24" fillId="6" borderId="4" xfId="9" applyNumberFormat="1" applyFont="1" applyBorder="1" applyAlignment="1">
      <alignment horizontal="left" vertical="center"/>
    </xf>
    <xf numFmtId="177" fontId="24" fillId="7" borderId="4" xfId="10" applyNumberFormat="1" applyFont="1" applyBorder="1" applyAlignment="1">
      <alignment horizontal="left" vertical="center"/>
    </xf>
    <xf numFmtId="177" fontId="24" fillId="7" borderId="7" xfId="10" applyNumberFormat="1" applyFont="1" applyBorder="1" applyAlignment="1">
      <alignment horizontal="left" vertical="center"/>
    </xf>
    <xf numFmtId="0" fontId="33" fillId="0" borderId="0" xfId="0" applyFont="1">
      <alignment vertical="center"/>
    </xf>
    <xf numFmtId="0" fontId="3" fillId="0" borderId="0" xfId="0" applyFont="1" applyFill="1" applyBorder="1">
      <alignment vertical="center"/>
    </xf>
    <xf numFmtId="177" fontId="26" fillId="8" borderId="34" xfId="0" applyNumberFormat="1" applyFont="1" applyFill="1" applyBorder="1" applyAlignment="1">
      <alignment horizontal="left" vertical="center"/>
    </xf>
    <xf numFmtId="177" fontId="26" fillId="0" borderId="0" xfId="0" applyNumberFormat="1" applyFont="1" applyFill="1" applyBorder="1" applyAlignment="1">
      <alignment horizontal="left"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7" fontId="26" fillId="4" borderId="5" xfId="7" applyNumberFormat="1" applyFont="1" applyBorder="1" applyAlignment="1">
      <alignment horizontal="left" vertical="center"/>
    </xf>
    <xf numFmtId="177" fontId="26" fillId="5" borderId="5" xfId="8" applyNumberFormat="1" applyFont="1" applyBorder="1" applyAlignment="1">
      <alignment horizontal="left" vertical="center"/>
    </xf>
    <xf numFmtId="177" fontId="26" fillId="3" borderId="5" xfId="6" applyNumberFormat="1" applyFont="1" applyBorder="1" applyAlignment="1">
      <alignment horizontal="left" vertical="center"/>
    </xf>
    <xf numFmtId="177" fontId="26" fillId="6" borderId="5" xfId="9" applyNumberFormat="1" applyFont="1" applyBorder="1" applyAlignment="1">
      <alignment horizontal="left" vertical="center"/>
    </xf>
    <xf numFmtId="177" fontId="26" fillId="7" borderId="5" xfId="10" applyNumberFormat="1" applyFont="1" applyBorder="1" applyAlignment="1">
      <alignment horizontal="left" vertical="center"/>
    </xf>
    <xf numFmtId="177" fontId="26" fillId="7" borderId="8" xfId="10" applyNumberFormat="1" applyFont="1" applyBorder="1" applyAlignment="1">
      <alignment horizontal="left" vertical="center"/>
    </xf>
    <xf numFmtId="177" fontId="26" fillId="8" borderId="35" xfId="0" applyNumberFormat="1" applyFont="1" applyFill="1" applyBorder="1" applyAlignment="1">
      <alignment horizontal="left" vertical="center"/>
    </xf>
    <xf numFmtId="177" fontId="26" fillId="8" borderId="44" xfId="0" applyNumberFormat="1" applyFont="1" applyFill="1" applyBorder="1" applyAlignment="1">
      <alignment horizontal="left" vertical="center"/>
    </xf>
    <xf numFmtId="0" fontId="3" fillId="2" borderId="45" xfId="0" applyFont="1" applyFill="1" applyBorder="1">
      <alignment vertical="center"/>
    </xf>
    <xf numFmtId="0" fontId="3" fillId="2" borderId="46" xfId="0" applyFont="1" applyFill="1" applyBorder="1">
      <alignment vertical="center"/>
    </xf>
    <xf numFmtId="0" fontId="3" fillId="2" borderId="47" xfId="0" applyFont="1" applyFill="1" applyBorder="1">
      <alignment vertical="center"/>
    </xf>
    <xf numFmtId="176" fontId="3" fillId="0" borderId="35" xfId="1" applyNumberFormat="1" applyFont="1" applyBorder="1">
      <alignment vertical="center"/>
    </xf>
    <xf numFmtId="176" fontId="3" fillId="0" borderId="40" xfId="1" applyNumberFormat="1" applyFont="1" applyBorder="1">
      <alignment vertical="center"/>
    </xf>
    <xf numFmtId="176" fontId="3" fillId="0" borderId="5" xfId="1" applyNumberFormat="1" applyFont="1" applyBorder="1">
      <alignment vertical="center"/>
    </xf>
    <xf numFmtId="176" fontId="3" fillId="0" borderId="6" xfId="1" applyNumberFormat="1" applyFont="1" applyBorder="1">
      <alignment vertical="center"/>
    </xf>
    <xf numFmtId="176" fontId="3" fillId="0" borderId="8" xfId="1" applyNumberFormat="1" applyFont="1" applyBorder="1">
      <alignment vertical="center"/>
    </xf>
    <xf numFmtId="176" fontId="3" fillId="0" borderId="9" xfId="1" applyNumberFormat="1" applyFont="1" applyBorder="1">
      <alignment vertical="center"/>
    </xf>
    <xf numFmtId="177" fontId="26" fillId="8" borderId="48" xfId="0" applyNumberFormat="1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center" vertical="center"/>
    </xf>
    <xf numFmtId="178" fontId="9" fillId="2" borderId="0" xfId="0" applyNumberFormat="1" applyFont="1" applyFill="1" applyBorder="1" applyAlignment="1">
      <alignment horizontal="center" vertical="center"/>
    </xf>
    <xf numFmtId="177" fontId="31" fillId="2" borderId="5" xfId="1" applyNumberFormat="1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left" vertical="center"/>
    </xf>
    <xf numFmtId="0" fontId="31" fillId="2" borderId="11" xfId="0" applyFont="1" applyFill="1" applyBorder="1" applyAlignment="1">
      <alignment horizontal="left" vertical="center"/>
    </xf>
    <xf numFmtId="0" fontId="32" fillId="2" borderId="11" xfId="0" applyFont="1" applyFill="1" applyBorder="1" applyAlignment="1">
      <alignment horizontal="left" vertical="center"/>
    </xf>
    <xf numFmtId="177" fontId="31" fillId="2" borderId="6" xfId="1" applyNumberFormat="1" applyFont="1" applyFill="1" applyBorder="1" applyAlignment="1">
      <alignment horizontal="right" vertical="center"/>
    </xf>
    <xf numFmtId="0" fontId="6" fillId="2" borderId="0" xfId="6" applyFont="1" applyFill="1" applyBorder="1" applyAlignment="1">
      <alignment horizontal="right" vertical="center"/>
    </xf>
    <xf numFmtId="43" fontId="9" fillId="2" borderId="0" xfId="0" applyNumberFormat="1" applyFont="1" applyFill="1" applyBorder="1" applyAlignment="1">
      <alignment horizontal="center" vertical="center"/>
    </xf>
    <xf numFmtId="43" fontId="12" fillId="2" borderId="0" xfId="0" applyNumberFormat="1" applyFont="1" applyFill="1" applyBorder="1" applyAlignment="1">
      <alignment horizontal="center" vertical="center"/>
    </xf>
    <xf numFmtId="0" fontId="29" fillId="11" borderId="22" xfId="6" applyFont="1" applyFill="1" applyBorder="1" applyAlignment="1">
      <alignment horizontal="right" vertical="center"/>
    </xf>
    <xf numFmtId="0" fontId="29" fillId="11" borderId="25" xfId="6" applyFont="1" applyFill="1" applyBorder="1" applyAlignment="1">
      <alignment horizontal="right" vertical="center"/>
    </xf>
    <xf numFmtId="0" fontId="29" fillId="11" borderId="27" xfId="6" applyFont="1" applyFill="1" applyBorder="1" applyAlignment="1">
      <alignment horizontal="right" vertical="center"/>
    </xf>
    <xf numFmtId="0" fontId="20" fillId="2" borderId="0" xfId="0" applyFont="1" applyFill="1" applyBorder="1" applyAlignment="1">
      <alignment vertical="center"/>
    </xf>
    <xf numFmtId="0" fontId="21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177" fontId="31" fillId="2" borderId="5" xfId="0" applyNumberFormat="1" applyFont="1" applyFill="1" applyBorder="1" applyAlignment="1">
      <alignment horizontal="right" vertical="center"/>
    </xf>
    <xf numFmtId="177" fontId="31" fillId="2" borderId="6" xfId="0" applyNumberFormat="1" applyFont="1" applyFill="1" applyBorder="1" applyAlignment="1">
      <alignment horizontal="right" vertical="center"/>
    </xf>
    <xf numFmtId="0" fontId="31" fillId="2" borderId="11" xfId="0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center" vertical="center"/>
    </xf>
    <xf numFmtId="0" fontId="31" fillId="2" borderId="14" xfId="0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center" vertical="center"/>
    </xf>
    <xf numFmtId="177" fontId="13" fillId="2" borderId="52" xfId="1" applyNumberFormat="1" applyFont="1" applyFill="1" applyBorder="1" applyAlignment="1">
      <alignment horizontal="right" vertical="center"/>
    </xf>
    <xf numFmtId="177" fontId="13" fillId="2" borderId="11" xfId="1" applyNumberFormat="1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0" fontId="31" fillId="2" borderId="10" xfId="0" applyFont="1" applyFill="1" applyBorder="1" applyAlignment="1">
      <alignment horizontal="left" vertical="center"/>
    </xf>
    <xf numFmtId="0" fontId="32" fillId="2" borderId="1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177" fontId="31" fillId="2" borderId="2" xfId="1" applyNumberFormat="1" applyFont="1" applyFill="1" applyBorder="1" applyAlignment="1">
      <alignment horizontal="right" vertical="center"/>
    </xf>
    <xf numFmtId="0" fontId="32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/>
    </xf>
    <xf numFmtId="177" fontId="34" fillId="2" borderId="5" xfId="1" applyNumberFormat="1" applyFont="1" applyFill="1" applyBorder="1" applyAlignment="1">
      <alignment horizontal="right" vertical="center"/>
    </xf>
    <xf numFmtId="177" fontId="34" fillId="2" borderId="6" xfId="1" applyNumberFormat="1" applyFont="1" applyFill="1" applyBorder="1" applyAlignment="1">
      <alignment horizontal="right" vertical="center"/>
    </xf>
    <xf numFmtId="177" fontId="3" fillId="12" borderId="2" xfId="0" applyNumberFormat="1" applyFont="1" applyFill="1" applyBorder="1" applyAlignment="1">
      <alignment horizontal="right" vertical="center"/>
    </xf>
    <xf numFmtId="177" fontId="3" fillId="12" borderId="3" xfId="0" applyNumberFormat="1" applyFont="1" applyFill="1" applyBorder="1" applyAlignment="1">
      <alignment horizontal="right" vertical="center"/>
    </xf>
    <xf numFmtId="177" fontId="31" fillId="12" borderId="5" xfId="0" applyNumberFormat="1" applyFont="1" applyFill="1" applyBorder="1" applyAlignment="1">
      <alignment horizontal="right" vertical="center"/>
    </xf>
    <xf numFmtId="177" fontId="31" fillId="12" borderId="6" xfId="0" applyNumberFormat="1" applyFont="1" applyFill="1" applyBorder="1" applyAlignment="1">
      <alignment horizontal="right" vertical="center"/>
    </xf>
    <xf numFmtId="177" fontId="31" fillId="12" borderId="6" xfId="1" applyNumberFormat="1" applyFont="1" applyFill="1" applyBorder="1" applyAlignment="1">
      <alignment horizontal="right" vertical="center"/>
    </xf>
    <xf numFmtId="177" fontId="3" fillId="12" borderId="6" xfId="0" applyNumberFormat="1" applyFont="1" applyFill="1" applyBorder="1" applyAlignment="1">
      <alignment horizontal="right" vertical="center"/>
    </xf>
    <xf numFmtId="177" fontId="3" fillId="12" borderId="5" xfId="0" applyNumberFormat="1" applyFont="1" applyFill="1" applyBorder="1" applyAlignment="1">
      <alignment horizontal="right" vertical="center"/>
    </xf>
    <xf numFmtId="177" fontId="31" fillId="12" borderId="5" xfId="1" applyNumberFormat="1" applyFont="1" applyFill="1" applyBorder="1" applyAlignment="1">
      <alignment horizontal="right" vertical="center"/>
    </xf>
    <xf numFmtId="0" fontId="35" fillId="2" borderId="0" xfId="0" applyFont="1" applyFill="1" applyBorder="1" applyAlignment="1">
      <alignment horizontal="center" vertical="center"/>
    </xf>
    <xf numFmtId="0" fontId="36" fillId="2" borderId="0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31" fillId="9" borderId="4" xfId="0" applyFont="1" applyFill="1" applyBorder="1" applyAlignment="1">
      <alignment horizontal="left" vertical="center"/>
    </xf>
    <xf numFmtId="0" fontId="32" fillId="9" borderId="11" xfId="0" applyFont="1" applyFill="1" applyBorder="1" applyAlignment="1">
      <alignment horizontal="left" vertical="center"/>
    </xf>
    <xf numFmtId="0" fontId="31" fillId="9" borderId="5" xfId="0" applyFont="1" applyFill="1" applyBorder="1" applyAlignment="1">
      <alignment horizontal="left" vertical="center"/>
    </xf>
    <xf numFmtId="177" fontId="31" fillId="9" borderId="5" xfId="1" applyNumberFormat="1" applyFont="1" applyFill="1" applyBorder="1" applyAlignment="1">
      <alignment horizontal="right" vertical="center"/>
    </xf>
    <xf numFmtId="177" fontId="31" fillId="9" borderId="5" xfId="0" applyNumberFormat="1" applyFont="1" applyFill="1" applyBorder="1" applyAlignment="1">
      <alignment horizontal="right" vertical="center"/>
    </xf>
    <xf numFmtId="177" fontId="31" fillId="9" borderId="6" xfId="0" applyNumberFormat="1" applyFont="1" applyFill="1" applyBorder="1" applyAlignment="1">
      <alignment horizontal="right" vertical="center"/>
    </xf>
    <xf numFmtId="0" fontId="9" fillId="9" borderId="4" xfId="0" applyFont="1" applyFill="1" applyBorder="1" applyAlignment="1">
      <alignment horizontal="center" vertical="center"/>
    </xf>
    <xf numFmtId="0" fontId="31" fillId="9" borderId="11" xfId="0" applyFont="1" applyFill="1" applyBorder="1" applyAlignment="1">
      <alignment horizontal="left" vertical="center"/>
    </xf>
    <xf numFmtId="0" fontId="3" fillId="9" borderId="5" xfId="0" applyFont="1" applyFill="1" applyBorder="1" applyAlignment="1">
      <alignment horizontal="left" vertical="center"/>
    </xf>
    <xf numFmtId="177" fontId="3" fillId="9" borderId="5" xfId="0" applyNumberFormat="1" applyFont="1" applyFill="1" applyBorder="1" applyAlignment="1">
      <alignment horizontal="right" vertical="center"/>
    </xf>
    <xf numFmtId="177" fontId="3" fillId="9" borderId="6" xfId="0" applyNumberFormat="1" applyFont="1" applyFill="1" applyBorder="1" applyAlignment="1">
      <alignment horizontal="right" vertical="center"/>
    </xf>
    <xf numFmtId="0" fontId="9" fillId="9" borderId="11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9" fillId="9" borderId="14" xfId="0" applyFont="1" applyFill="1" applyBorder="1" applyAlignment="1">
      <alignment horizontal="center" vertical="center"/>
    </xf>
    <xf numFmtId="0" fontId="9" fillId="14" borderId="4" xfId="0" applyFont="1" applyFill="1" applyBorder="1" applyAlignment="1">
      <alignment horizontal="center" vertical="center"/>
    </xf>
    <xf numFmtId="0" fontId="31" fillId="14" borderId="4" xfId="0" applyFont="1" applyFill="1" applyBorder="1" applyAlignment="1">
      <alignment horizontal="left" vertical="center"/>
    </xf>
    <xf numFmtId="0" fontId="31" fillId="14" borderId="11" xfId="0" applyFont="1" applyFill="1" applyBorder="1" applyAlignment="1">
      <alignment horizontal="left" vertical="center"/>
    </xf>
    <xf numFmtId="0" fontId="32" fillId="14" borderId="11" xfId="0" applyFont="1" applyFill="1" applyBorder="1" applyAlignment="1">
      <alignment horizontal="left" vertical="center"/>
    </xf>
    <xf numFmtId="0" fontId="3" fillId="14" borderId="5" xfId="0" applyFont="1" applyFill="1" applyBorder="1" applyAlignment="1">
      <alignment horizontal="left" vertical="center"/>
    </xf>
    <xf numFmtId="177" fontId="31" fillId="14" borderId="5" xfId="1" applyNumberFormat="1" applyFont="1" applyFill="1" applyBorder="1" applyAlignment="1">
      <alignment horizontal="right" vertical="center"/>
    </xf>
    <xf numFmtId="177" fontId="3" fillId="14" borderId="5" xfId="0" applyNumberFormat="1" applyFont="1" applyFill="1" applyBorder="1" applyAlignment="1">
      <alignment horizontal="right" vertical="center"/>
    </xf>
    <xf numFmtId="177" fontId="3" fillId="14" borderId="6" xfId="0" applyNumberFormat="1" applyFont="1" applyFill="1" applyBorder="1" applyAlignment="1">
      <alignment horizontal="right" vertical="center"/>
    </xf>
    <xf numFmtId="0" fontId="9" fillId="14" borderId="11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9" fillId="14" borderId="14" xfId="0" applyFont="1" applyFill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31" fillId="14" borderId="5" xfId="0" applyFont="1" applyFill="1" applyBorder="1" applyAlignment="1">
      <alignment horizontal="left" vertical="center"/>
    </xf>
    <xf numFmtId="177" fontId="31" fillId="14" borderId="5" xfId="0" applyNumberFormat="1" applyFont="1" applyFill="1" applyBorder="1" applyAlignment="1">
      <alignment horizontal="right" vertical="center"/>
    </xf>
    <xf numFmtId="177" fontId="31" fillId="14" borderId="6" xfId="0" applyNumberFormat="1" applyFont="1" applyFill="1" applyBorder="1" applyAlignment="1">
      <alignment horizontal="right" vertical="center"/>
    </xf>
    <xf numFmtId="0" fontId="13" fillId="14" borderId="11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center" vertical="center"/>
    </xf>
    <xf numFmtId="0" fontId="13" fillId="14" borderId="14" xfId="0" applyFont="1" applyFill="1" applyBorder="1" applyAlignment="1">
      <alignment horizontal="center" vertical="center"/>
    </xf>
    <xf numFmtId="0" fontId="31" fillId="9" borderId="11" xfId="0" applyFont="1" applyFill="1" applyBorder="1" applyAlignment="1">
      <alignment horizontal="center" vertical="center"/>
    </xf>
    <xf numFmtId="0" fontId="31" fillId="9" borderId="5" xfId="0" applyFont="1" applyFill="1" applyBorder="1" applyAlignment="1">
      <alignment horizontal="center" vertical="center"/>
    </xf>
    <xf numFmtId="0" fontId="31" fillId="9" borderId="14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vertical="center"/>
    </xf>
    <xf numFmtId="0" fontId="21" fillId="2" borderId="0" xfId="6" applyFont="1" applyFill="1" applyBorder="1" applyAlignment="1">
      <alignment vertical="center"/>
    </xf>
    <xf numFmtId="176" fontId="9" fillId="2" borderId="0" xfId="1" applyNumberFormat="1" applyFont="1" applyFill="1" applyBorder="1" applyAlignment="1">
      <alignment vertical="center"/>
    </xf>
    <xf numFmtId="0" fontId="13" fillId="2" borderId="0" xfId="6" applyFont="1" applyFill="1" applyBorder="1" applyAlignment="1">
      <alignment horizontal="right" vertical="center"/>
    </xf>
    <xf numFmtId="0" fontId="9" fillId="15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38" fillId="0" borderId="56" xfId="0" applyFont="1" applyFill="1" applyBorder="1" applyAlignment="1">
      <alignment horizontal="left" vertical="center"/>
    </xf>
    <xf numFmtId="0" fontId="38" fillId="0" borderId="51" xfId="0" applyFont="1" applyFill="1" applyBorder="1" applyAlignment="1">
      <alignment horizontal="center" vertical="center"/>
    </xf>
    <xf numFmtId="177" fontId="38" fillId="0" borderId="51" xfId="1" applyNumberFormat="1" applyFont="1" applyFill="1" applyBorder="1" applyAlignment="1">
      <alignment horizontal="center" vertical="center"/>
    </xf>
    <xf numFmtId="177" fontId="38" fillId="0" borderId="51" xfId="0" applyNumberFormat="1" applyFont="1" applyFill="1" applyBorder="1" applyAlignment="1">
      <alignment horizontal="center" vertical="center"/>
    </xf>
    <xf numFmtId="0" fontId="37" fillId="0" borderId="57" xfId="0" applyFont="1" applyFill="1" applyBorder="1" applyAlignment="1">
      <alignment horizontal="center" vertical="center"/>
    </xf>
    <xf numFmtId="0" fontId="37" fillId="0" borderId="51" xfId="0" applyFont="1" applyFill="1" applyBorder="1" applyAlignment="1">
      <alignment horizontal="center" vertical="center"/>
    </xf>
    <xf numFmtId="177" fontId="37" fillId="0" borderId="51" xfId="0" applyNumberFormat="1" applyFont="1" applyFill="1" applyBorder="1" applyAlignment="1">
      <alignment horizontal="center" vertical="center"/>
    </xf>
    <xf numFmtId="0" fontId="38" fillId="15" borderId="56" xfId="0" applyFont="1" applyFill="1" applyBorder="1" applyAlignment="1">
      <alignment horizontal="left" vertical="center"/>
    </xf>
    <xf numFmtId="0" fontId="38" fillId="15" borderId="51" xfId="0" applyFont="1" applyFill="1" applyBorder="1" applyAlignment="1">
      <alignment horizontal="center" vertical="center"/>
    </xf>
    <xf numFmtId="0" fontId="37" fillId="15" borderId="51" xfId="0" applyFont="1" applyFill="1" applyBorder="1" applyAlignment="1">
      <alignment horizontal="center" vertical="center"/>
    </xf>
    <xf numFmtId="177" fontId="38" fillId="15" borderId="51" xfId="1" applyNumberFormat="1" applyFont="1" applyFill="1" applyBorder="1" applyAlignment="1">
      <alignment horizontal="center" vertical="center"/>
    </xf>
    <xf numFmtId="177" fontId="37" fillId="15" borderId="51" xfId="0" applyNumberFormat="1" applyFont="1" applyFill="1" applyBorder="1" applyAlignment="1">
      <alignment horizontal="center" vertical="center"/>
    </xf>
    <xf numFmtId="0" fontId="37" fillId="15" borderId="57" xfId="0" applyFont="1" applyFill="1" applyBorder="1" applyAlignment="1">
      <alignment horizontal="center" vertical="center"/>
    </xf>
    <xf numFmtId="0" fontId="38" fillId="0" borderId="58" xfId="0" applyFont="1" applyFill="1" applyBorder="1" applyAlignment="1">
      <alignment horizontal="left" vertical="center"/>
    </xf>
    <xf numFmtId="0" fontId="38" fillId="0" borderId="59" xfId="0" applyFont="1" applyFill="1" applyBorder="1" applyAlignment="1">
      <alignment horizontal="center" vertical="center"/>
    </xf>
    <xf numFmtId="0" fontId="37" fillId="0" borderId="59" xfId="0" applyFont="1" applyFill="1" applyBorder="1" applyAlignment="1">
      <alignment horizontal="center" vertical="center"/>
    </xf>
    <xf numFmtId="177" fontId="38" fillId="0" borderId="59" xfId="1" applyNumberFormat="1" applyFont="1" applyFill="1" applyBorder="1" applyAlignment="1">
      <alignment horizontal="center" vertical="center"/>
    </xf>
    <xf numFmtId="177" fontId="37" fillId="0" borderId="59" xfId="0" applyNumberFormat="1" applyFont="1" applyFill="1" applyBorder="1" applyAlignment="1">
      <alignment horizontal="center" vertical="center"/>
    </xf>
    <xf numFmtId="0" fontId="37" fillId="0" borderId="60" xfId="0" applyFont="1" applyFill="1" applyBorder="1" applyAlignment="1">
      <alignment horizontal="center" vertical="center"/>
    </xf>
    <xf numFmtId="0" fontId="37" fillId="2" borderId="0" xfId="0" applyFont="1" applyFill="1" applyBorder="1" applyAlignment="1">
      <alignment horizontal="center" vertical="center"/>
    </xf>
    <xf numFmtId="0" fontId="38" fillId="2" borderId="0" xfId="6" applyFont="1" applyFill="1" applyBorder="1" applyAlignment="1">
      <alignment horizontal="right" vertical="center"/>
    </xf>
    <xf numFmtId="176" fontId="37" fillId="2" borderId="0" xfId="1" applyNumberFormat="1" applyFont="1" applyFill="1" applyBorder="1" applyAlignment="1">
      <alignment horizontal="center" vertical="center"/>
    </xf>
    <xf numFmtId="0" fontId="38" fillId="2" borderId="0" xfId="0" applyFont="1" applyFill="1" applyBorder="1" applyAlignment="1">
      <alignment horizontal="center" vertical="center"/>
    </xf>
    <xf numFmtId="176" fontId="38" fillId="2" borderId="0" xfId="1" applyNumberFormat="1" applyFont="1" applyFill="1" applyBorder="1" applyAlignment="1">
      <alignment horizontal="center" vertical="center"/>
    </xf>
    <xf numFmtId="9" fontId="38" fillId="2" borderId="0" xfId="11" applyFont="1" applyFill="1" applyBorder="1" applyAlignment="1">
      <alignment horizontal="right" vertical="center"/>
    </xf>
    <xf numFmtId="0" fontId="39" fillId="13" borderId="53" xfId="0" applyFont="1" applyFill="1" applyBorder="1" applyAlignment="1">
      <alignment vertical="center"/>
    </xf>
    <xf numFmtId="0" fontId="39" fillId="13" borderId="54" xfId="0" applyFont="1" applyFill="1" applyBorder="1" applyAlignment="1">
      <alignment vertical="center"/>
    </xf>
    <xf numFmtId="0" fontId="39" fillId="13" borderId="54" xfId="6" applyFont="1" applyFill="1" applyBorder="1" applyAlignment="1">
      <alignment vertical="center"/>
    </xf>
    <xf numFmtId="0" fontId="39" fillId="13" borderId="55" xfId="0" applyFont="1" applyFill="1" applyBorder="1" applyAlignment="1">
      <alignment horizontal="center" vertical="center"/>
    </xf>
    <xf numFmtId="0" fontId="39" fillId="13" borderId="54" xfId="0" applyFont="1" applyFill="1" applyBorder="1" applyAlignment="1">
      <alignment horizontal="center" vertical="center"/>
    </xf>
    <xf numFmtId="0" fontId="12" fillId="15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43" fontId="13" fillId="2" borderId="0" xfId="1" applyNumberFormat="1" applyFont="1" applyFill="1" applyBorder="1" applyAlignment="1">
      <alignment horizontal="center" vertical="center"/>
    </xf>
    <xf numFmtId="0" fontId="13" fillId="9" borderId="0" xfId="0" applyFont="1" applyFill="1" applyBorder="1" applyAlignment="1">
      <alignment horizontal="center" vertical="center"/>
    </xf>
    <xf numFmtId="177" fontId="32" fillId="2" borderId="62" xfId="0" applyNumberFormat="1" applyFont="1" applyFill="1" applyBorder="1" applyAlignment="1">
      <alignment vertical="center"/>
    </xf>
    <xf numFmtId="177" fontId="32" fillId="2" borderId="63" xfId="0" applyNumberFormat="1" applyFont="1" applyFill="1" applyBorder="1" applyAlignment="1">
      <alignment vertical="center"/>
    </xf>
    <xf numFmtId="177" fontId="32" fillId="2" borderId="65" xfId="0" applyNumberFormat="1" applyFont="1" applyFill="1" applyBorder="1" applyAlignment="1">
      <alignment vertical="center"/>
    </xf>
    <xf numFmtId="177" fontId="32" fillId="2" borderId="66" xfId="0" applyNumberFormat="1" applyFont="1" applyFill="1" applyBorder="1" applyAlignment="1">
      <alignment vertical="center"/>
    </xf>
    <xf numFmtId="176" fontId="13" fillId="2" borderId="65" xfId="1" applyNumberFormat="1" applyFont="1" applyFill="1" applyBorder="1" applyAlignment="1">
      <alignment vertical="center"/>
    </xf>
    <xf numFmtId="176" fontId="13" fillId="2" borderId="66" xfId="1" applyNumberFormat="1" applyFont="1" applyFill="1" applyBorder="1" applyAlignment="1">
      <alignment vertical="center"/>
    </xf>
    <xf numFmtId="176" fontId="13" fillId="2" borderId="68" xfId="1" applyNumberFormat="1" applyFont="1" applyFill="1" applyBorder="1" applyAlignment="1">
      <alignment horizontal="center" vertical="center"/>
    </xf>
    <xf numFmtId="176" fontId="13" fillId="2" borderId="69" xfId="1" applyNumberFormat="1" applyFont="1" applyFill="1" applyBorder="1" applyAlignment="1">
      <alignment horizontal="center" vertical="center"/>
    </xf>
    <xf numFmtId="177" fontId="26" fillId="8" borderId="61" xfId="0" applyNumberFormat="1" applyFont="1" applyFill="1" applyBorder="1" applyAlignment="1">
      <alignment horizontal="center" vertical="center"/>
    </xf>
    <xf numFmtId="177" fontId="26" fillId="8" borderId="64" xfId="0" applyNumberFormat="1" applyFont="1" applyFill="1" applyBorder="1" applyAlignment="1">
      <alignment horizontal="center" vertical="center"/>
    </xf>
    <xf numFmtId="177" fontId="26" fillId="8" borderId="67" xfId="0" applyNumberFormat="1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40" fillId="2" borderId="11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177" fontId="5" fillId="2" borderId="5" xfId="1" applyNumberFormat="1" applyFont="1" applyFill="1" applyBorder="1" applyAlignment="1">
      <alignment horizontal="right" vertical="center"/>
    </xf>
    <xf numFmtId="177" fontId="5" fillId="12" borderId="5" xfId="0" applyNumberFormat="1" applyFont="1" applyFill="1" applyBorder="1" applyAlignment="1">
      <alignment horizontal="right" vertical="center"/>
    </xf>
    <xf numFmtId="177" fontId="5" fillId="12" borderId="6" xfId="0" applyNumberFormat="1" applyFont="1" applyFill="1" applyBorder="1" applyAlignment="1">
      <alignment horizontal="right" vertical="center"/>
    </xf>
    <xf numFmtId="0" fontId="17" fillId="2" borderId="14" xfId="0" applyFont="1" applyFill="1" applyBorder="1" applyAlignment="1">
      <alignment horizontal="center" vertical="center"/>
    </xf>
    <xf numFmtId="177" fontId="5" fillId="2" borderId="6" xfId="1" applyNumberFormat="1" applyFont="1" applyFill="1" applyBorder="1" applyAlignment="1">
      <alignment horizontal="right" vertical="center"/>
    </xf>
    <xf numFmtId="0" fontId="17" fillId="2" borderId="4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40" fillId="2" borderId="15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177" fontId="5" fillId="2" borderId="8" xfId="1" applyNumberFormat="1" applyFont="1" applyFill="1" applyBorder="1" applyAlignment="1">
      <alignment horizontal="right" vertical="center"/>
    </xf>
    <xf numFmtId="177" fontId="5" fillId="2" borderId="9" xfId="1" applyNumberFormat="1" applyFont="1" applyFill="1" applyBorder="1" applyAlignment="1">
      <alignment horizontal="right" vertical="center"/>
    </xf>
    <xf numFmtId="0" fontId="17" fillId="2" borderId="15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left" vertical="center"/>
    </xf>
    <xf numFmtId="0" fontId="5" fillId="9" borderId="11" xfId="0" applyFont="1" applyFill="1" applyBorder="1" applyAlignment="1">
      <alignment horizontal="left" vertical="center"/>
    </xf>
    <xf numFmtId="0" fontId="40" fillId="9" borderId="11" xfId="0" applyFont="1" applyFill="1" applyBorder="1" applyAlignment="1">
      <alignment horizontal="left" vertical="center"/>
    </xf>
    <xf numFmtId="0" fontId="5" fillId="9" borderId="5" xfId="0" applyFont="1" applyFill="1" applyBorder="1" applyAlignment="1">
      <alignment horizontal="left" vertical="center"/>
    </xf>
    <xf numFmtId="177" fontId="5" fillId="9" borderId="5" xfId="1" applyNumberFormat="1" applyFont="1" applyFill="1" applyBorder="1" applyAlignment="1">
      <alignment horizontal="right" vertical="center"/>
    </xf>
    <xf numFmtId="177" fontId="5" fillId="9" borderId="5" xfId="0" applyNumberFormat="1" applyFont="1" applyFill="1" applyBorder="1" applyAlignment="1">
      <alignment horizontal="right" vertical="center"/>
    </xf>
    <xf numFmtId="177" fontId="5" fillId="9" borderId="6" xfId="0" applyNumberFormat="1" applyFont="1" applyFill="1" applyBorder="1" applyAlignment="1">
      <alignment horizontal="right" vertical="center"/>
    </xf>
    <xf numFmtId="0" fontId="17" fillId="9" borderId="11" xfId="0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0" fontId="17" fillId="9" borderId="14" xfId="0" applyFont="1" applyFill="1" applyBorder="1" applyAlignment="1">
      <alignment horizontal="center" vertical="center"/>
    </xf>
    <xf numFmtId="177" fontId="26" fillId="8" borderId="70" xfId="0" applyNumberFormat="1" applyFont="1" applyFill="1" applyBorder="1" applyAlignment="1">
      <alignment horizontal="center" vertical="center"/>
    </xf>
    <xf numFmtId="177" fontId="32" fillId="2" borderId="71" xfId="0" applyNumberFormat="1" applyFont="1" applyFill="1" applyBorder="1" applyAlignment="1">
      <alignment vertical="center"/>
    </xf>
    <xf numFmtId="177" fontId="32" fillId="2" borderId="72" xfId="0" applyNumberFormat="1" applyFont="1" applyFill="1" applyBorder="1" applyAlignment="1">
      <alignment vertical="center"/>
    </xf>
    <xf numFmtId="0" fontId="29" fillId="3" borderId="25" xfId="6" applyFont="1" applyBorder="1" applyAlignment="1">
      <alignment horizontal="right" vertical="center"/>
    </xf>
    <xf numFmtId="0" fontId="28" fillId="3" borderId="22" xfId="6" applyFont="1" applyBorder="1" applyAlignment="1">
      <alignment horizontal="right" vertical="center"/>
    </xf>
    <xf numFmtId="9" fontId="9" fillId="2" borderId="0" xfId="11" applyFont="1" applyFill="1" applyBorder="1" applyAlignment="1">
      <alignment horizontal="center" vertical="center"/>
    </xf>
    <xf numFmtId="9" fontId="17" fillId="2" borderId="0" xfId="11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center" vertical="center"/>
    </xf>
    <xf numFmtId="177" fontId="24" fillId="4" borderId="17" xfId="7" applyNumberFormat="1" applyFont="1" applyBorder="1" applyAlignment="1">
      <alignment horizontal="left" vertical="center"/>
    </xf>
    <xf numFmtId="177" fontId="24" fillId="4" borderId="5" xfId="7" applyNumberFormat="1" applyFont="1" applyBorder="1" applyAlignment="1">
      <alignment horizontal="left" vertical="center"/>
    </xf>
    <xf numFmtId="177" fontId="24" fillId="4" borderId="14" xfId="7" applyNumberFormat="1" applyFont="1" applyBorder="1" applyAlignment="1">
      <alignment horizontal="left" vertical="center"/>
    </xf>
    <xf numFmtId="177" fontId="24" fillId="4" borderId="6" xfId="7" applyNumberFormat="1" applyFont="1" applyBorder="1" applyAlignment="1">
      <alignment horizontal="left" vertical="center"/>
    </xf>
    <xf numFmtId="177" fontId="26" fillId="8" borderId="17" xfId="0" applyNumberFormat="1" applyFont="1" applyFill="1" applyBorder="1" applyAlignment="1">
      <alignment horizontal="left" vertical="center"/>
    </xf>
    <xf numFmtId="177" fontId="26" fillId="8" borderId="5" xfId="0" applyNumberFormat="1" applyFont="1" applyFill="1" applyBorder="1" applyAlignment="1">
      <alignment horizontal="left" vertical="center"/>
    </xf>
    <xf numFmtId="177" fontId="26" fillId="8" borderId="14" xfId="0" applyNumberFormat="1" applyFont="1" applyFill="1" applyBorder="1" applyAlignment="1">
      <alignment horizontal="left" vertical="center"/>
    </xf>
    <xf numFmtId="177" fontId="26" fillId="8" borderId="6" xfId="0" applyNumberFormat="1" applyFont="1" applyFill="1" applyBorder="1" applyAlignment="1">
      <alignment horizontal="left" vertical="center"/>
    </xf>
    <xf numFmtId="0" fontId="23" fillId="3" borderId="3" xfId="6" applyFont="1" applyBorder="1" applyAlignment="1">
      <alignment horizontal="center" vertical="center" textRotation="75"/>
    </xf>
    <xf numFmtId="0" fontId="23" fillId="3" borderId="9" xfId="6" applyFont="1" applyBorder="1" applyAlignment="1">
      <alignment horizontal="center" vertical="center" textRotation="75"/>
    </xf>
    <xf numFmtId="0" fontId="23" fillId="3" borderId="1" xfId="6" applyFont="1" applyBorder="1" applyAlignment="1">
      <alignment horizontal="center" vertical="center" textRotation="75"/>
    </xf>
    <xf numFmtId="0" fontId="23" fillId="3" borderId="15" xfId="6" applyFont="1" applyBorder="1" applyAlignment="1">
      <alignment horizontal="center" vertical="center" textRotation="75"/>
    </xf>
    <xf numFmtId="0" fontId="23" fillId="3" borderId="2" xfId="6" applyFont="1" applyBorder="1" applyAlignment="1">
      <alignment horizontal="center" vertical="center" textRotation="75"/>
    </xf>
    <xf numFmtId="0" fontId="23" fillId="3" borderId="8" xfId="6" applyFont="1" applyBorder="1" applyAlignment="1">
      <alignment horizontal="center" vertical="center" textRotation="75"/>
    </xf>
    <xf numFmtId="0" fontId="23" fillId="3" borderId="10" xfId="6" applyFont="1" applyBorder="1" applyAlignment="1">
      <alignment horizontal="center" vertical="center" textRotation="75"/>
    </xf>
    <xf numFmtId="0" fontId="4" fillId="2" borderId="20" xfId="0" applyFont="1" applyFill="1" applyBorder="1" applyAlignment="1">
      <alignment horizontal="center" vertical="center" textRotation="75"/>
    </xf>
    <xf numFmtId="0" fontId="4" fillId="2" borderId="21" xfId="0" applyFont="1" applyFill="1" applyBorder="1" applyAlignment="1">
      <alignment horizontal="center" vertical="center" textRotation="75"/>
    </xf>
    <xf numFmtId="0" fontId="13" fillId="9" borderId="25" xfId="0" applyFont="1" applyFill="1" applyBorder="1" applyAlignment="1">
      <alignment horizontal="center" vertical="center"/>
    </xf>
    <xf numFmtId="0" fontId="23" fillId="3" borderId="49" xfId="6" applyFont="1" applyBorder="1" applyAlignment="1">
      <alignment horizontal="center" vertical="center" textRotation="75"/>
    </xf>
    <xf numFmtId="0" fontId="23" fillId="3" borderId="50" xfId="6" applyFont="1" applyBorder="1" applyAlignment="1">
      <alignment horizontal="center" vertical="center" textRotation="75"/>
    </xf>
    <xf numFmtId="177" fontId="24" fillId="3" borderId="17" xfId="6" applyNumberFormat="1" applyFont="1" applyBorder="1" applyAlignment="1">
      <alignment horizontal="left" vertical="center"/>
    </xf>
    <xf numFmtId="177" fontId="24" fillId="3" borderId="5" xfId="6" applyNumberFormat="1" applyFont="1" applyBorder="1" applyAlignment="1">
      <alignment horizontal="left" vertical="center"/>
    </xf>
    <xf numFmtId="177" fontId="24" fillId="3" borderId="14" xfId="6" applyNumberFormat="1" applyFont="1" applyBorder="1" applyAlignment="1">
      <alignment horizontal="left" vertical="center"/>
    </xf>
    <xf numFmtId="177" fontId="24" fillId="3" borderId="6" xfId="6" applyNumberFormat="1" applyFont="1" applyBorder="1" applyAlignment="1">
      <alignment horizontal="left" vertical="center"/>
    </xf>
    <xf numFmtId="0" fontId="23" fillId="3" borderId="13" xfId="6" applyFont="1" applyBorder="1" applyAlignment="1">
      <alignment horizontal="center" vertical="center" textRotation="75"/>
    </xf>
    <xf numFmtId="0" fontId="23" fillId="3" borderId="16" xfId="6" applyFont="1" applyBorder="1" applyAlignment="1">
      <alignment horizontal="center" vertical="center" textRotation="75"/>
    </xf>
    <xf numFmtId="177" fontId="26" fillId="8" borderId="29" xfId="0" applyNumberFormat="1" applyFont="1" applyFill="1" applyBorder="1" applyAlignment="1">
      <alignment horizontal="left" vertical="center"/>
    </xf>
    <xf numFmtId="177" fontId="26" fillId="8" borderId="2" xfId="0" applyNumberFormat="1" applyFont="1" applyFill="1" applyBorder="1" applyAlignment="1">
      <alignment horizontal="left" vertical="center"/>
    </xf>
    <xf numFmtId="177" fontId="26" fillId="8" borderId="13" xfId="0" applyNumberFormat="1" applyFont="1" applyFill="1" applyBorder="1" applyAlignment="1">
      <alignment horizontal="left" vertical="center"/>
    </xf>
    <xf numFmtId="177" fontId="26" fillId="8" borderId="3" xfId="0" applyNumberFormat="1" applyFont="1" applyFill="1" applyBorder="1" applyAlignment="1">
      <alignment horizontal="left" vertical="center"/>
    </xf>
    <xf numFmtId="177" fontId="24" fillId="7" borderId="18" xfId="10" applyNumberFormat="1" applyFont="1" applyBorder="1" applyAlignment="1">
      <alignment horizontal="left" vertical="center"/>
    </xf>
    <xf numFmtId="177" fontId="24" fillId="7" borderId="8" xfId="10" applyNumberFormat="1" applyFont="1" applyBorder="1" applyAlignment="1">
      <alignment horizontal="left" vertical="center"/>
    </xf>
    <xf numFmtId="177" fontId="24" fillId="7" borderId="16" xfId="10" applyNumberFormat="1" applyFont="1" applyBorder="1" applyAlignment="1">
      <alignment horizontal="left" vertical="center"/>
    </xf>
    <xf numFmtId="177" fontId="24" fillId="7" borderId="9" xfId="10" applyNumberFormat="1" applyFont="1" applyBorder="1" applyAlignment="1">
      <alignment horizontal="left" vertical="center"/>
    </xf>
    <xf numFmtId="177" fontId="24" fillId="6" borderId="17" xfId="9" applyNumberFormat="1" applyFont="1" applyBorder="1" applyAlignment="1">
      <alignment horizontal="left" vertical="center"/>
    </xf>
    <xf numFmtId="177" fontId="24" fillId="6" borderId="5" xfId="9" applyNumberFormat="1" applyFont="1" applyBorder="1" applyAlignment="1">
      <alignment horizontal="left" vertical="center"/>
    </xf>
    <xf numFmtId="177" fontId="24" fillId="6" borderId="14" xfId="9" applyNumberFormat="1" applyFont="1" applyBorder="1" applyAlignment="1">
      <alignment horizontal="left" vertical="center"/>
    </xf>
    <xf numFmtId="177" fontId="24" fillId="6" borderId="6" xfId="9" applyNumberFormat="1" applyFont="1" applyBorder="1" applyAlignment="1">
      <alignment horizontal="left" vertical="center"/>
    </xf>
    <xf numFmtId="177" fontId="24" fillId="7" borderId="17" xfId="10" applyNumberFormat="1" applyFont="1" applyBorder="1" applyAlignment="1">
      <alignment horizontal="left" vertical="center"/>
    </xf>
    <xf numFmtId="177" fontId="24" fillId="7" borderId="5" xfId="10" applyNumberFormat="1" applyFont="1" applyBorder="1" applyAlignment="1">
      <alignment horizontal="left" vertical="center"/>
    </xf>
    <xf numFmtId="177" fontId="24" fillId="7" borderId="14" xfId="10" applyNumberFormat="1" applyFont="1" applyBorder="1" applyAlignment="1">
      <alignment horizontal="left" vertical="center"/>
    </xf>
    <xf numFmtId="177" fontId="24" fillId="7" borderId="6" xfId="10" applyNumberFormat="1" applyFont="1" applyBorder="1" applyAlignment="1">
      <alignment horizontal="left" vertical="center"/>
    </xf>
    <xf numFmtId="177" fontId="24" fillId="5" borderId="17" xfId="8" applyNumberFormat="1" applyFont="1" applyBorder="1" applyAlignment="1">
      <alignment horizontal="left" vertical="center"/>
    </xf>
    <xf numFmtId="177" fontId="24" fillId="5" borderId="5" xfId="8" applyNumberFormat="1" applyFont="1" applyBorder="1" applyAlignment="1">
      <alignment horizontal="left" vertical="center"/>
    </xf>
    <xf numFmtId="177" fontId="24" fillId="5" borderId="14" xfId="8" applyNumberFormat="1" applyFont="1" applyBorder="1" applyAlignment="1">
      <alignment horizontal="left" vertical="center"/>
    </xf>
    <xf numFmtId="177" fontId="24" fillId="5" borderId="6" xfId="8" applyNumberFormat="1" applyFont="1" applyBorder="1" applyAlignment="1">
      <alignment horizontal="left" vertical="center"/>
    </xf>
  </cellXfs>
  <cellStyles count="12">
    <cellStyle name="Normal_IpBom" xfId="2" xr:uid="{00000000-0005-0000-0000-000000000000}"/>
    <cellStyle name="百分比" xfId="11" builtinId="5"/>
    <cellStyle name="常规" xfId="0" builtinId="0"/>
    <cellStyle name="常规 2" xfId="3" xr:uid="{00000000-0005-0000-0000-000003000000}"/>
    <cellStyle name="常规 2 2" xfId="4" xr:uid="{00000000-0005-0000-0000-000004000000}"/>
    <cellStyle name="常规 3" xfId="5" xr:uid="{00000000-0005-0000-0000-000005000000}"/>
    <cellStyle name="千位分隔" xfId="1" builtinId="3"/>
    <cellStyle name="着色 1" xfId="6" builtinId="29"/>
    <cellStyle name="着色 2" xfId="7" builtinId="33"/>
    <cellStyle name="着色 3" xfId="8" builtinId="37"/>
    <cellStyle name="着色 5" xfId="9" builtinId="45"/>
    <cellStyle name="着色 6" xfId="10" builtinId="4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公司整体!$C$3</c:f>
              <c:strCache>
                <c:ptCount val="1"/>
                <c:pt idx="0">
                  <c:v>支杆</c:v>
                </c:pt>
              </c:strCache>
            </c:strRef>
          </c:tx>
          <c:cat>
            <c:numRef>
              <c:f>公司整体!$D$2:$F$2</c:f>
              <c:numCache>
                <c:formatCode>General</c:formatCode>
                <c:ptCount val="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</c:numCache>
            </c:numRef>
          </c:cat>
          <c:val>
            <c:numRef>
              <c:f>公司整体!$D$3:$F$3</c:f>
              <c:numCache>
                <c:formatCode>_ * #,##0_ ;_ * \-#,##0_ ;_ * "-"??_ ;_ @_ </c:formatCode>
                <c:ptCount val="3"/>
                <c:pt idx="0">
                  <c:v>19888755</c:v>
                </c:pt>
                <c:pt idx="1">
                  <c:v>19702709</c:v>
                </c:pt>
                <c:pt idx="2">
                  <c:v>19593646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3F-4A05-863D-6058BAFAC3DE}"/>
            </c:ext>
          </c:extLst>
        </c:ser>
        <c:ser>
          <c:idx val="1"/>
          <c:order val="1"/>
          <c:tx>
            <c:strRef>
              <c:f>公司整体!$C$4</c:f>
              <c:strCache>
                <c:ptCount val="1"/>
                <c:pt idx="0">
                  <c:v>泡沫</c:v>
                </c:pt>
              </c:strCache>
            </c:strRef>
          </c:tx>
          <c:cat>
            <c:numRef>
              <c:f>公司整体!$D$2:$F$2</c:f>
              <c:numCache>
                <c:formatCode>General</c:formatCode>
                <c:ptCount val="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</c:numCache>
            </c:numRef>
          </c:cat>
          <c:val>
            <c:numRef>
              <c:f>公司整体!$D$4:$F$4</c:f>
              <c:numCache>
                <c:formatCode>_ * #,##0_ ;_ * \-#,##0_ ;_ * "-"??_ ;_ @_ </c:formatCode>
                <c:ptCount val="3"/>
                <c:pt idx="0">
                  <c:v>10874333</c:v>
                </c:pt>
                <c:pt idx="1">
                  <c:v>12077438</c:v>
                </c:pt>
                <c:pt idx="2">
                  <c:v>12732160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3F-4A05-863D-6058BAFAC3DE}"/>
            </c:ext>
          </c:extLst>
        </c:ser>
        <c:ser>
          <c:idx val="2"/>
          <c:order val="2"/>
          <c:tx>
            <c:strRef>
              <c:f>公司整体!$C$5</c:f>
              <c:strCache>
                <c:ptCount val="1"/>
                <c:pt idx="0">
                  <c:v>注塑</c:v>
                </c:pt>
              </c:strCache>
            </c:strRef>
          </c:tx>
          <c:cat>
            <c:numRef>
              <c:f>公司整体!$D$2:$F$2</c:f>
              <c:numCache>
                <c:formatCode>General</c:formatCode>
                <c:ptCount val="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</c:numCache>
            </c:numRef>
          </c:cat>
          <c:val>
            <c:numRef>
              <c:f>公司整体!$D$5:$F$5</c:f>
              <c:numCache>
                <c:formatCode>_ * #,##0_ ;_ * \-#,##0_ ;_ * "-"??_ ;_ @_ </c:formatCode>
                <c:ptCount val="3"/>
                <c:pt idx="0">
                  <c:v>12963801</c:v>
                </c:pt>
                <c:pt idx="1">
                  <c:v>13914942</c:v>
                </c:pt>
                <c:pt idx="2">
                  <c:v>13870458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3F-4A05-863D-6058BAFAC3DE}"/>
            </c:ext>
          </c:extLst>
        </c:ser>
        <c:ser>
          <c:idx val="3"/>
          <c:order val="3"/>
          <c:tx>
            <c:strRef>
              <c:f>公司整体!$C$6</c:f>
              <c:strCache>
                <c:ptCount val="1"/>
                <c:pt idx="0">
                  <c:v>装配</c:v>
                </c:pt>
              </c:strCache>
            </c:strRef>
          </c:tx>
          <c:cat>
            <c:numRef>
              <c:f>公司整体!$D$2:$F$2</c:f>
              <c:numCache>
                <c:formatCode>General</c:formatCode>
                <c:ptCount val="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</c:numCache>
            </c:numRef>
          </c:cat>
          <c:val>
            <c:numRef>
              <c:f>公司整体!$D$6:$F$6</c:f>
              <c:numCache>
                <c:formatCode>_ * #,##0_ ;_ * \-#,##0_ ;_ * "-"??_ ;_ @_ </c:formatCode>
                <c:ptCount val="3"/>
                <c:pt idx="0">
                  <c:v>9346008</c:v>
                </c:pt>
                <c:pt idx="1">
                  <c:v>11377841</c:v>
                </c:pt>
                <c:pt idx="2">
                  <c:v>11954360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3F-4A05-863D-6058BAFAC3DE}"/>
            </c:ext>
          </c:extLst>
        </c:ser>
        <c:ser>
          <c:idx val="4"/>
          <c:order val="4"/>
          <c:tx>
            <c:strRef>
              <c:f>公司整体!$C$7</c:f>
              <c:strCache>
                <c:ptCount val="1"/>
                <c:pt idx="0">
                  <c:v>缝纫</c:v>
                </c:pt>
              </c:strCache>
            </c:strRef>
          </c:tx>
          <c:cat>
            <c:numRef>
              <c:f>公司整体!$D$2:$F$2</c:f>
              <c:numCache>
                <c:formatCode>General</c:formatCode>
                <c:ptCount val="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</c:numCache>
            </c:numRef>
          </c:cat>
          <c:val>
            <c:numRef>
              <c:f>公司整体!$D$7:$F$7</c:f>
              <c:numCache>
                <c:formatCode>_ * #,##0_ ;_ * \-#,##0_ ;_ * "-"??_ ;_ @_ </c:formatCode>
                <c:ptCount val="3"/>
                <c:pt idx="0">
                  <c:v>9540348</c:v>
                </c:pt>
                <c:pt idx="1">
                  <c:v>9932340</c:v>
                </c:pt>
                <c:pt idx="2">
                  <c:v>10214360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3F-4A05-863D-6058BAFAC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915648"/>
        <c:axId val="181917184"/>
      </c:lineChart>
      <c:catAx>
        <c:axId val="181915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1917184"/>
        <c:crosses val="autoZero"/>
        <c:auto val="1"/>
        <c:lblAlgn val="ctr"/>
        <c:lblOffset val="100"/>
        <c:noMultiLvlLbl val="0"/>
      </c:catAx>
      <c:valAx>
        <c:axId val="181917184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crossAx val="1819156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gradFill rotWithShape="1">
      <a:gsLst>
        <a:gs pos="0">
          <a:schemeClr val="accent5">
            <a:shade val="51000"/>
            <a:satMod val="130000"/>
          </a:schemeClr>
        </a:gs>
        <a:gs pos="80000">
          <a:schemeClr val="accent5">
            <a:shade val="93000"/>
            <a:satMod val="130000"/>
          </a:schemeClr>
        </a:gs>
        <a:gs pos="100000">
          <a:schemeClr val="accent5">
            <a:shade val="94000"/>
            <a:satMod val="135000"/>
          </a:schemeClr>
        </a:gs>
      </a:gsLst>
      <a:lin ang="16200000" scaled="0"/>
    </a:gradFill>
    <a:ln w="9525" cap="flat" cmpd="sng" algn="ctr">
      <a:solidFill>
        <a:schemeClr val="accent5">
          <a:shade val="95000"/>
          <a:satMod val="105000"/>
        </a:schemeClr>
      </a:solidFill>
      <a:prstDash val="solid"/>
    </a:ln>
    <a:effectLst>
      <a:outerShdw blurRad="40000" dist="23000" dir="5400000" rotWithShape="0">
        <a:srgbClr val="000000">
          <a:alpha val="35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[继峰2013-2015年产量规划.xlsx]公司整体!数据透视表3</c:name>
    <c:fmtId val="13"/>
  </c:pivotSource>
  <c:chart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公司整体!$O$69:$O$70</c:f>
              <c:strCache>
                <c:ptCount val="1"/>
                <c:pt idx="0">
                  <c:v>长春</c:v>
                </c:pt>
              </c:strCache>
            </c:strRef>
          </c:tx>
          <c:invertIfNegative val="0"/>
          <c:cat>
            <c:strRef>
              <c:f>公司整体!$N$71:$N$74</c:f>
              <c:strCache>
                <c:ptCount val="3"/>
                <c:pt idx="0">
                  <c:v>发泡</c:v>
                </c:pt>
                <c:pt idx="1">
                  <c:v>缝纫</c:v>
                </c:pt>
                <c:pt idx="2">
                  <c:v>装配</c:v>
                </c:pt>
              </c:strCache>
            </c:strRef>
          </c:cat>
          <c:val>
            <c:numRef>
              <c:f>公司整体!$O$71:$O$74</c:f>
              <c:numCache>
                <c:formatCode>General</c:formatCode>
                <c:ptCount val="3"/>
                <c:pt idx="0">
                  <c:v>3032600</c:v>
                </c:pt>
                <c:pt idx="1">
                  <c:v>2952600</c:v>
                </c:pt>
                <c:pt idx="2">
                  <c:v>2952600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C-43FD-9F60-8FA6F7E4F496}"/>
            </c:ext>
          </c:extLst>
        </c:ser>
        <c:ser>
          <c:idx val="1"/>
          <c:order val="1"/>
          <c:tx>
            <c:strRef>
              <c:f>公司整体!$P$69:$P$70</c:f>
              <c:strCache>
                <c:ptCount val="1"/>
                <c:pt idx="0">
                  <c:v>成都</c:v>
                </c:pt>
              </c:strCache>
            </c:strRef>
          </c:tx>
          <c:invertIfNegative val="0"/>
          <c:cat>
            <c:strRef>
              <c:f>公司整体!$N$71:$N$74</c:f>
              <c:strCache>
                <c:ptCount val="3"/>
                <c:pt idx="0">
                  <c:v>发泡</c:v>
                </c:pt>
                <c:pt idx="1">
                  <c:v>缝纫</c:v>
                </c:pt>
                <c:pt idx="2">
                  <c:v>装配</c:v>
                </c:pt>
              </c:strCache>
            </c:strRef>
          </c:cat>
          <c:val>
            <c:numRef>
              <c:f>公司整体!$P$71:$P$74</c:f>
              <c:numCache>
                <c:formatCode>General</c:formatCode>
                <c:ptCount val="3"/>
                <c:pt idx="0">
                  <c:v>996550</c:v>
                </c:pt>
                <c:pt idx="1">
                  <c:v>996550</c:v>
                </c:pt>
                <c:pt idx="2">
                  <c:v>996550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AC-43FD-9F60-8FA6F7E4F496}"/>
            </c:ext>
          </c:extLst>
        </c:ser>
        <c:ser>
          <c:idx val="2"/>
          <c:order val="2"/>
          <c:tx>
            <c:strRef>
              <c:f>公司整体!$Q$69:$Q$70</c:f>
              <c:strCache>
                <c:ptCount val="1"/>
                <c:pt idx="0">
                  <c:v>广州</c:v>
                </c:pt>
              </c:strCache>
            </c:strRef>
          </c:tx>
          <c:invertIfNegative val="0"/>
          <c:cat>
            <c:strRef>
              <c:f>公司整体!$N$71:$N$74</c:f>
              <c:strCache>
                <c:ptCount val="3"/>
                <c:pt idx="0">
                  <c:v>发泡</c:v>
                </c:pt>
                <c:pt idx="1">
                  <c:v>缝纫</c:v>
                </c:pt>
                <c:pt idx="2">
                  <c:v>装配</c:v>
                </c:pt>
              </c:strCache>
            </c:strRef>
          </c:cat>
          <c:val>
            <c:numRef>
              <c:f>公司整体!$Q$71:$Q$74</c:f>
              <c:numCache>
                <c:formatCode>General</c:formatCode>
                <c:ptCount val="3"/>
                <c:pt idx="0">
                  <c:v>2383800</c:v>
                </c:pt>
                <c:pt idx="1">
                  <c:v>1271000</c:v>
                </c:pt>
                <c:pt idx="2">
                  <c:v>2101000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AC-43FD-9F60-8FA6F7E4F496}"/>
            </c:ext>
          </c:extLst>
        </c:ser>
        <c:ser>
          <c:idx val="3"/>
          <c:order val="3"/>
          <c:tx>
            <c:strRef>
              <c:f>公司整体!$R$69:$R$70</c:f>
              <c:strCache>
                <c:ptCount val="1"/>
                <c:pt idx="0">
                  <c:v>宁波</c:v>
                </c:pt>
              </c:strCache>
            </c:strRef>
          </c:tx>
          <c:invertIfNegative val="0"/>
          <c:cat>
            <c:strRef>
              <c:f>公司整体!$N$71:$N$74</c:f>
              <c:strCache>
                <c:ptCount val="3"/>
                <c:pt idx="0">
                  <c:v>发泡</c:v>
                </c:pt>
                <c:pt idx="1">
                  <c:v>缝纫</c:v>
                </c:pt>
                <c:pt idx="2">
                  <c:v>装配</c:v>
                </c:pt>
              </c:strCache>
            </c:strRef>
          </c:cat>
          <c:val>
            <c:numRef>
              <c:f>公司整体!$R$71:$R$74</c:f>
              <c:numCache>
                <c:formatCode>General</c:formatCode>
                <c:ptCount val="3"/>
                <c:pt idx="0">
                  <c:v>3083361</c:v>
                </c:pt>
                <c:pt idx="1">
                  <c:v>2948564</c:v>
                </c:pt>
                <c:pt idx="2">
                  <c:v>2946564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AC-43FD-9F60-8FA6F7E4F496}"/>
            </c:ext>
          </c:extLst>
        </c:ser>
        <c:ser>
          <c:idx val="4"/>
          <c:order val="4"/>
          <c:tx>
            <c:strRef>
              <c:f>公司整体!$S$69:$S$70</c:f>
              <c:strCache>
                <c:ptCount val="1"/>
                <c:pt idx="0">
                  <c:v>武汉</c:v>
                </c:pt>
              </c:strCache>
            </c:strRef>
          </c:tx>
          <c:invertIfNegative val="0"/>
          <c:cat>
            <c:strRef>
              <c:f>公司整体!$N$71:$N$74</c:f>
              <c:strCache>
                <c:ptCount val="3"/>
                <c:pt idx="0">
                  <c:v>发泡</c:v>
                </c:pt>
                <c:pt idx="1">
                  <c:v>缝纫</c:v>
                </c:pt>
                <c:pt idx="2">
                  <c:v>装配</c:v>
                </c:pt>
              </c:strCache>
            </c:strRef>
          </c:cat>
          <c:val>
            <c:numRef>
              <c:f>公司整体!$S$71:$S$74</c:f>
              <c:numCache>
                <c:formatCode>General</c:formatCode>
                <c:ptCount val="3"/>
                <c:pt idx="0">
                  <c:v>2363927</c:v>
                </c:pt>
                <c:pt idx="1">
                  <c:v>1546426</c:v>
                </c:pt>
                <c:pt idx="2">
                  <c:v>2163927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AC-43FD-9F60-8FA6F7E4F496}"/>
            </c:ext>
          </c:extLst>
        </c:ser>
        <c:ser>
          <c:idx val="5"/>
          <c:order val="5"/>
          <c:tx>
            <c:strRef>
              <c:f>公司整体!$T$69:$T$70</c:f>
              <c:strCache>
                <c:ptCount val="1"/>
                <c:pt idx="0">
                  <c:v>重庆</c:v>
                </c:pt>
              </c:strCache>
            </c:strRef>
          </c:tx>
          <c:invertIfNegative val="0"/>
          <c:cat>
            <c:strRef>
              <c:f>公司整体!$N$71:$N$74</c:f>
              <c:strCache>
                <c:ptCount val="3"/>
                <c:pt idx="0">
                  <c:v>发泡</c:v>
                </c:pt>
                <c:pt idx="1">
                  <c:v>缝纫</c:v>
                </c:pt>
                <c:pt idx="2">
                  <c:v>装配</c:v>
                </c:pt>
              </c:strCache>
            </c:strRef>
          </c:cat>
          <c:val>
            <c:numRef>
              <c:f>公司整体!$T$71:$T$74</c:f>
              <c:numCache>
                <c:formatCode>General</c:formatCode>
                <c:ptCount val="3"/>
                <c:pt idx="0">
                  <c:v>250000</c:v>
                </c:pt>
                <c:pt idx="2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AC-43FD-9F60-8FA6F7E4F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3514624"/>
        <c:axId val="183516160"/>
        <c:axId val="0"/>
      </c:bar3DChart>
      <c:catAx>
        <c:axId val="183514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3516160"/>
        <c:crosses val="autoZero"/>
        <c:auto val="1"/>
        <c:lblAlgn val="ctr"/>
        <c:lblOffset val="100"/>
        <c:noMultiLvlLbl val="0"/>
      </c:catAx>
      <c:valAx>
        <c:axId val="183516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3514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[继峰2013-2015年产量规划.xlsx]公司整体!数据透视表4</c:name>
    <c:fmtId val="31"/>
  </c:pivotSource>
  <c:chart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公司整体!$O$101:$O$102</c:f>
              <c:strCache>
                <c:ptCount val="1"/>
                <c:pt idx="0">
                  <c:v>长春</c:v>
                </c:pt>
              </c:strCache>
            </c:strRef>
          </c:tx>
          <c:invertIfNegative val="0"/>
          <c:cat>
            <c:strRef>
              <c:f>公司整体!$N$103:$N$106</c:f>
              <c:strCache>
                <c:ptCount val="3"/>
                <c:pt idx="0">
                  <c:v>发泡</c:v>
                </c:pt>
                <c:pt idx="1">
                  <c:v>缝纫</c:v>
                </c:pt>
                <c:pt idx="2">
                  <c:v>装配</c:v>
                </c:pt>
              </c:strCache>
            </c:strRef>
          </c:cat>
          <c:val>
            <c:numRef>
              <c:f>公司整体!$O$103:$O$106</c:f>
              <c:numCache>
                <c:formatCode>General</c:formatCode>
                <c:ptCount val="3"/>
                <c:pt idx="0">
                  <c:v>3172600</c:v>
                </c:pt>
                <c:pt idx="1">
                  <c:v>3092600</c:v>
                </c:pt>
                <c:pt idx="2">
                  <c:v>3092600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6-404C-A81C-E964F9ED0E5D}"/>
            </c:ext>
          </c:extLst>
        </c:ser>
        <c:ser>
          <c:idx val="1"/>
          <c:order val="1"/>
          <c:tx>
            <c:strRef>
              <c:f>公司整体!$P$101:$P$102</c:f>
              <c:strCache>
                <c:ptCount val="1"/>
                <c:pt idx="0">
                  <c:v>成都</c:v>
                </c:pt>
              </c:strCache>
            </c:strRef>
          </c:tx>
          <c:invertIfNegative val="0"/>
          <c:cat>
            <c:strRef>
              <c:f>公司整体!$N$103:$N$106</c:f>
              <c:strCache>
                <c:ptCount val="3"/>
                <c:pt idx="0">
                  <c:v>发泡</c:v>
                </c:pt>
                <c:pt idx="1">
                  <c:v>缝纫</c:v>
                </c:pt>
                <c:pt idx="2">
                  <c:v>装配</c:v>
                </c:pt>
              </c:strCache>
            </c:strRef>
          </c:cat>
          <c:val>
            <c:numRef>
              <c:f>公司整体!$P$103:$P$106</c:f>
              <c:numCache>
                <c:formatCode>General</c:formatCode>
                <c:ptCount val="3"/>
                <c:pt idx="0">
                  <c:v>1070800</c:v>
                </c:pt>
                <c:pt idx="1">
                  <c:v>1070800</c:v>
                </c:pt>
                <c:pt idx="2">
                  <c:v>1070800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36-404C-A81C-E964F9ED0E5D}"/>
            </c:ext>
          </c:extLst>
        </c:ser>
        <c:ser>
          <c:idx val="2"/>
          <c:order val="2"/>
          <c:tx>
            <c:strRef>
              <c:f>公司整体!$Q$101:$Q$102</c:f>
              <c:strCache>
                <c:ptCount val="1"/>
                <c:pt idx="0">
                  <c:v>广州</c:v>
                </c:pt>
              </c:strCache>
            </c:strRef>
          </c:tx>
          <c:invertIfNegative val="0"/>
          <c:cat>
            <c:strRef>
              <c:f>公司整体!$N$103:$N$106</c:f>
              <c:strCache>
                <c:ptCount val="3"/>
                <c:pt idx="0">
                  <c:v>发泡</c:v>
                </c:pt>
                <c:pt idx="1">
                  <c:v>缝纫</c:v>
                </c:pt>
                <c:pt idx="2">
                  <c:v>装配</c:v>
                </c:pt>
              </c:strCache>
            </c:strRef>
          </c:cat>
          <c:val>
            <c:numRef>
              <c:f>公司整体!$Q$103:$Q$106</c:f>
              <c:numCache>
                <c:formatCode>General</c:formatCode>
                <c:ptCount val="3"/>
                <c:pt idx="0">
                  <c:v>2695800</c:v>
                </c:pt>
                <c:pt idx="1">
                  <c:v>1583000</c:v>
                </c:pt>
                <c:pt idx="2">
                  <c:v>2413000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36-404C-A81C-E964F9ED0E5D}"/>
            </c:ext>
          </c:extLst>
        </c:ser>
        <c:ser>
          <c:idx val="3"/>
          <c:order val="3"/>
          <c:tx>
            <c:strRef>
              <c:f>公司整体!$R$101:$R$102</c:f>
              <c:strCache>
                <c:ptCount val="1"/>
                <c:pt idx="0">
                  <c:v>宁波</c:v>
                </c:pt>
              </c:strCache>
            </c:strRef>
          </c:tx>
          <c:invertIfNegative val="0"/>
          <c:cat>
            <c:strRef>
              <c:f>公司整体!$N$103:$N$106</c:f>
              <c:strCache>
                <c:ptCount val="3"/>
                <c:pt idx="0">
                  <c:v>发泡</c:v>
                </c:pt>
                <c:pt idx="1">
                  <c:v>缝纫</c:v>
                </c:pt>
                <c:pt idx="2">
                  <c:v>装配</c:v>
                </c:pt>
              </c:strCache>
            </c:strRef>
          </c:cat>
          <c:val>
            <c:numRef>
              <c:f>公司整体!$R$103:$R$106</c:f>
              <c:numCache>
                <c:formatCode>General</c:formatCode>
                <c:ptCount val="3"/>
                <c:pt idx="0">
                  <c:v>2959334</c:v>
                </c:pt>
                <c:pt idx="1">
                  <c:v>2724334</c:v>
                </c:pt>
                <c:pt idx="2">
                  <c:v>2724334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36-404C-A81C-E964F9ED0E5D}"/>
            </c:ext>
          </c:extLst>
        </c:ser>
        <c:ser>
          <c:idx val="4"/>
          <c:order val="4"/>
          <c:tx>
            <c:strRef>
              <c:f>公司整体!$S$101:$S$102</c:f>
              <c:strCache>
                <c:ptCount val="1"/>
                <c:pt idx="0">
                  <c:v>武汉</c:v>
                </c:pt>
              </c:strCache>
            </c:strRef>
          </c:tx>
          <c:invertIfNegative val="0"/>
          <c:cat>
            <c:strRef>
              <c:f>公司整体!$N$103:$N$106</c:f>
              <c:strCache>
                <c:ptCount val="3"/>
                <c:pt idx="0">
                  <c:v>发泡</c:v>
                </c:pt>
                <c:pt idx="1">
                  <c:v>缝纫</c:v>
                </c:pt>
                <c:pt idx="2">
                  <c:v>装配</c:v>
                </c:pt>
              </c:strCache>
            </c:strRef>
          </c:cat>
          <c:val>
            <c:numRef>
              <c:f>公司整体!$S$103:$S$106</c:f>
              <c:numCache>
                <c:formatCode>General</c:formatCode>
                <c:ptCount val="3"/>
                <c:pt idx="0">
                  <c:v>2616426</c:v>
                </c:pt>
                <c:pt idx="1">
                  <c:v>1526426</c:v>
                </c:pt>
                <c:pt idx="2">
                  <c:v>2436426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36-404C-A81C-E964F9ED0E5D}"/>
            </c:ext>
          </c:extLst>
        </c:ser>
        <c:ser>
          <c:idx val="5"/>
          <c:order val="5"/>
          <c:tx>
            <c:strRef>
              <c:f>公司整体!$T$101:$T$102</c:f>
              <c:strCache>
                <c:ptCount val="1"/>
                <c:pt idx="0">
                  <c:v>重庆</c:v>
                </c:pt>
              </c:strCache>
            </c:strRef>
          </c:tx>
          <c:invertIfNegative val="0"/>
          <c:cat>
            <c:strRef>
              <c:f>公司整体!$N$103:$N$106</c:f>
              <c:strCache>
                <c:ptCount val="3"/>
                <c:pt idx="0">
                  <c:v>发泡</c:v>
                </c:pt>
                <c:pt idx="1">
                  <c:v>缝纫</c:v>
                </c:pt>
                <c:pt idx="2">
                  <c:v>装配</c:v>
                </c:pt>
              </c:strCache>
            </c:strRef>
          </c:cat>
          <c:val>
            <c:numRef>
              <c:f>公司整体!$T$103:$T$106</c:f>
              <c:numCache>
                <c:formatCode>General</c:formatCode>
                <c:ptCount val="3"/>
                <c:pt idx="0">
                  <c:v>250000</c:v>
                </c:pt>
                <c:pt idx="2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36-404C-A81C-E964F9ED0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3536640"/>
        <c:axId val="183550720"/>
        <c:axId val="0"/>
      </c:bar3DChart>
      <c:catAx>
        <c:axId val="183536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3550720"/>
        <c:crosses val="autoZero"/>
        <c:auto val="1"/>
        <c:lblAlgn val="ctr"/>
        <c:lblOffset val="100"/>
        <c:noMultiLvlLbl val="0"/>
      </c:catAx>
      <c:valAx>
        <c:axId val="183550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3536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宁波!$B$3</c:f>
              <c:strCache>
                <c:ptCount val="1"/>
                <c:pt idx="0">
                  <c:v>宁波支杆</c:v>
                </c:pt>
              </c:strCache>
            </c:strRef>
          </c:tx>
          <c:cat>
            <c:numRef>
              <c:f>宁波!$C$2:$E$2</c:f>
              <c:numCache>
                <c:formatCode>General</c:formatCode>
                <c:ptCount val="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</c:numCache>
            </c:numRef>
          </c:cat>
          <c:val>
            <c:numRef>
              <c:f>宁波!$C$3:$E$3</c:f>
              <c:numCache>
                <c:formatCode>General</c:formatCode>
                <c:ptCount val="3"/>
                <c:pt idx="0">
                  <c:v>18723840</c:v>
                </c:pt>
                <c:pt idx="1">
                  <c:v>17619109</c:v>
                </c:pt>
                <c:pt idx="2">
                  <c:v>13276584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33-4F9F-BAF2-DE464269127B}"/>
            </c:ext>
          </c:extLst>
        </c:ser>
        <c:ser>
          <c:idx val="2"/>
          <c:order val="1"/>
          <c:tx>
            <c:strRef>
              <c:f>宁波!$B$4</c:f>
              <c:strCache>
                <c:ptCount val="1"/>
                <c:pt idx="0">
                  <c:v>宁波发泡</c:v>
                </c:pt>
              </c:strCache>
            </c:strRef>
          </c:tx>
          <c:cat>
            <c:numRef>
              <c:f>宁波!$C$2:$E$2</c:f>
              <c:numCache>
                <c:formatCode>General</c:formatCode>
                <c:ptCount val="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</c:numCache>
            </c:numRef>
          </c:cat>
          <c:val>
            <c:numRef>
              <c:f>宁波!$C$4:$E$4</c:f>
              <c:numCache>
                <c:formatCode>General</c:formatCode>
                <c:ptCount val="3"/>
                <c:pt idx="0">
                  <c:v>3281584</c:v>
                </c:pt>
                <c:pt idx="1">
                  <c:v>2770061</c:v>
                </c:pt>
                <c:pt idx="2">
                  <c:v>2648034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33-4F9F-BAF2-DE464269127B}"/>
            </c:ext>
          </c:extLst>
        </c:ser>
        <c:ser>
          <c:idx val="3"/>
          <c:order val="2"/>
          <c:tx>
            <c:strRef>
              <c:f>宁波!$B$5</c:f>
              <c:strCache>
                <c:ptCount val="1"/>
                <c:pt idx="0">
                  <c:v>宁波注塑</c:v>
                </c:pt>
              </c:strCache>
            </c:strRef>
          </c:tx>
          <c:cat>
            <c:numRef>
              <c:f>宁波!$C$2:$E$2</c:f>
              <c:numCache>
                <c:formatCode>General</c:formatCode>
                <c:ptCount val="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</c:numCache>
            </c:numRef>
          </c:cat>
          <c:val>
            <c:numRef>
              <c:f>宁波!$C$5:$E$5</c:f>
              <c:numCache>
                <c:formatCode>General</c:formatCode>
                <c:ptCount val="3"/>
                <c:pt idx="0">
                  <c:v>12618801</c:v>
                </c:pt>
                <c:pt idx="1">
                  <c:v>13358942</c:v>
                </c:pt>
                <c:pt idx="2">
                  <c:v>13314458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33-4F9F-BAF2-DE464269127B}"/>
            </c:ext>
          </c:extLst>
        </c:ser>
        <c:ser>
          <c:idx val="4"/>
          <c:order val="3"/>
          <c:tx>
            <c:strRef>
              <c:f>宁波!$B$6</c:f>
              <c:strCache>
                <c:ptCount val="1"/>
                <c:pt idx="0">
                  <c:v>宁波装配</c:v>
                </c:pt>
              </c:strCache>
            </c:strRef>
          </c:tx>
          <c:cat>
            <c:numRef>
              <c:f>宁波!$C$2:$E$2</c:f>
              <c:numCache>
                <c:formatCode>General</c:formatCode>
                <c:ptCount val="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</c:numCache>
            </c:numRef>
          </c:cat>
          <c:val>
            <c:numRef>
              <c:f>宁波!$C$6:$E$6</c:f>
              <c:numCache>
                <c:formatCode>General</c:formatCode>
                <c:ptCount val="3"/>
                <c:pt idx="0">
                  <c:v>2246302</c:v>
                </c:pt>
                <c:pt idx="1">
                  <c:v>2635264</c:v>
                </c:pt>
                <c:pt idx="2">
                  <c:v>2413034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33-4F9F-BAF2-DE464269127B}"/>
            </c:ext>
          </c:extLst>
        </c:ser>
        <c:ser>
          <c:idx val="5"/>
          <c:order val="4"/>
          <c:tx>
            <c:strRef>
              <c:f>宁波!$B$7</c:f>
              <c:strCache>
                <c:ptCount val="1"/>
                <c:pt idx="0">
                  <c:v>宁波缝纫</c:v>
                </c:pt>
              </c:strCache>
            </c:strRef>
          </c:tx>
          <c:cat>
            <c:numRef>
              <c:f>宁波!$C$2:$E$2</c:f>
              <c:numCache>
                <c:formatCode>General</c:formatCode>
                <c:ptCount val="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</c:numCache>
            </c:numRef>
          </c:cat>
          <c:val>
            <c:numRef>
              <c:f>宁波!$C$7:$E$7</c:f>
              <c:numCache>
                <c:formatCode>General</c:formatCode>
                <c:ptCount val="3"/>
                <c:pt idx="0">
                  <c:v>3266287</c:v>
                </c:pt>
                <c:pt idx="1">
                  <c:v>2635264</c:v>
                </c:pt>
                <c:pt idx="2">
                  <c:v>2413034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33-4F9F-BAF2-DE4642691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750656"/>
        <c:axId val="183752192"/>
      </c:lineChart>
      <c:catAx>
        <c:axId val="18375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3752192"/>
        <c:crosses val="autoZero"/>
        <c:auto val="1"/>
        <c:lblAlgn val="ctr"/>
        <c:lblOffset val="100"/>
        <c:noMultiLvlLbl val="0"/>
      </c:catAx>
      <c:valAx>
        <c:axId val="183752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37506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gradFill rotWithShape="1">
      <a:gsLst>
        <a:gs pos="0">
          <a:schemeClr val="accent5">
            <a:shade val="51000"/>
            <a:satMod val="130000"/>
          </a:schemeClr>
        </a:gs>
        <a:gs pos="80000">
          <a:schemeClr val="accent5">
            <a:shade val="93000"/>
            <a:satMod val="130000"/>
          </a:schemeClr>
        </a:gs>
        <a:gs pos="100000">
          <a:schemeClr val="accent5">
            <a:shade val="94000"/>
            <a:satMod val="135000"/>
          </a:schemeClr>
        </a:gs>
      </a:gsLst>
      <a:lin ang="16200000" scaled="0"/>
    </a:gradFill>
    <a:ln w="9525" cap="flat" cmpd="sng" algn="ctr">
      <a:solidFill>
        <a:schemeClr val="accent5">
          <a:shade val="95000"/>
          <a:satMod val="105000"/>
        </a:schemeClr>
      </a:solidFill>
      <a:prstDash val="solid"/>
    </a:ln>
    <a:effectLst>
      <a:outerShdw blurRad="40000" dist="23000" dir="5400000" rotWithShape="0">
        <a:srgbClr val="000000">
          <a:alpha val="35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长春!$D$3</c:f>
              <c:strCache>
                <c:ptCount val="1"/>
                <c:pt idx="0">
                  <c:v>长春发泡</c:v>
                </c:pt>
              </c:strCache>
            </c:strRef>
          </c:tx>
          <c:cat>
            <c:numRef>
              <c:f>长春!$E$2:$G$2</c:f>
              <c:numCache>
                <c:formatCode>General</c:formatCode>
                <c:ptCount val="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</c:numCache>
            </c:numRef>
          </c:cat>
          <c:val>
            <c:numRef>
              <c:f>长春!$E$3:$G$3</c:f>
              <c:numCache>
                <c:formatCode>General</c:formatCode>
                <c:ptCount val="3"/>
                <c:pt idx="0">
                  <c:v>2950635</c:v>
                </c:pt>
                <c:pt idx="1">
                  <c:v>2252600</c:v>
                </c:pt>
                <c:pt idx="2">
                  <c:v>2392600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67-47C6-B67C-7F7584B4C26B}"/>
            </c:ext>
          </c:extLst>
        </c:ser>
        <c:ser>
          <c:idx val="1"/>
          <c:order val="1"/>
          <c:tx>
            <c:strRef>
              <c:f>长春!$D$4</c:f>
              <c:strCache>
                <c:ptCount val="1"/>
                <c:pt idx="0">
                  <c:v>长春缝纫</c:v>
                </c:pt>
              </c:strCache>
            </c:strRef>
          </c:tx>
          <c:cat>
            <c:numRef>
              <c:f>长春!$E$2:$G$2</c:f>
              <c:numCache>
                <c:formatCode>General</c:formatCode>
                <c:ptCount val="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</c:numCache>
            </c:numRef>
          </c:cat>
          <c:val>
            <c:numRef>
              <c:f>长春!$E$4:$G$4</c:f>
              <c:numCache>
                <c:formatCode>General</c:formatCode>
                <c:ptCount val="3"/>
                <c:pt idx="0">
                  <c:v>2620635</c:v>
                </c:pt>
                <c:pt idx="1">
                  <c:v>2172600</c:v>
                </c:pt>
                <c:pt idx="2">
                  <c:v>2312600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67-47C6-B67C-7F7584B4C26B}"/>
            </c:ext>
          </c:extLst>
        </c:ser>
        <c:ser>
          <c:idx val="2"/>
          <c:order val="2"/>
          <c:tx>
            <c:strRef>
              <c:f>长春!$D$5</c:f>
              <c:strCache>
                <c:ptCount val="1"/>
                <c:pt idx="0">
                  <c:v>长春装配</c:v>
                </c:pt>
              </c:strCache>
            </c:strRef>
          </c:tx>
          <c:cat>
            <c:numRef>
              <c:f>长春!$E$2:$G$2</c:f>
              <c:numCache>
                <c:formatCode>General</c:formatCode>
                <c:ptCount val="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</c:numCache>
            </c:numRef>
          </c:cat>
          <c:val>
            <c:numRef>
              <c:f>长春!$E$5:$G$5</c:f>
              <c:numCache>
                <c:formatCode>General</c:formatCode>
                <c:ptCount val="3"/>
                <c:pt idx="0">
                  <c:v>2620635</c:v>
                </c:pt>
                <c:pt idx="1">
                  <c:v>2172600</c:v>
                </c:pt>
                <c:pt idx="2">
                  <c:v>2312600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67-47C6-B67C-7F7584B4C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077312"/>
        <c:axId val="184083200"/>
      </c:lineChart>
      <c:catAx>
        <c:axId val="18407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083200"/>
        <c:crosses val="autoZero"/>
        <c:auto val="1"/>
        <c:lblAlgn val="ctr"/>
        <c:lblOffset val="100"/>
        <c:noMultiLvlLbl val="0"/>
      </c:catAx>
      <c:valAx>
        <c:axId val="184083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4077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gradFill rotWithShape="1">
      <a:gsLst>
        <a:gs pos="0">
          <a:schemeClr val="accent5">
            <a:shade val="51000"/>
            <a:satMod val="130000"/>
          </a:schemeClr>
        </a:gs>
        <a:gs pos="80000">
          <a:schemeClr val="accent5">
            <a:shade val="93000"/>
            <a:satMod val="130000"/>
          </a:schemeClr>
        </a:gs>
        <a:gs pos="100000">
          <a:schemeClr val="accent5">
            <a:shade val="94000"/>
            <a:satMod val="135000"/>
          </a:schemeClr>
        </a:gs>
      </a:gsLst>
      <a:lin ang="16200000" scaled="0"/>
    </a:gradFill>
    <a:ln w="9525" cap="flat" cmpd="sng" algn="ctr">
      <a:solidFill>
        <a:schemeClr val="accent5">
          <a:shade val="95000"/>
          <a:satMod val="105000"/>
        </a:schemeClr>
      </a:solidFill>
      <a:prstDash val="solid"/>
    </a:ln>
    <a:effectLst>
      <a:outerShdw blurRad="40000" dist="23000" dir="5400000" rotWithShape="0">
        <a:srgbClr val="000000">
          <a:alpha val="35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广州!$D$3</c:f>
              <c:strCache>
                <c:ptCount val="1"/>
                <c:pt idx="0">
                  <c:v>广州发泡</c:v>
                </c:pt>
              </c:strCache>
            </c:strRef>
          </c:tx>
          <c:cat>
            <c:numRef>
              <c:f>广州!$E$2:$G$2</c:f>
              <c:numCache>
                <c:formatCode>General</c:formatCode>
                <c:ptCount val="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</c:numCache>
            </c:numRef>
          </c:cat>
          <c:val>
            <c:numRef>
              <c:f>广州!$E$3:$G$3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CE-45B5-AE0C-442EFA4022B2}"/>
            </c:ext>
          </c:extLst>
        </c:ser>
        <c:ser>
          <c:idx val="1"/>
          <c:order val="1"/>
          <c:tx>
            <c:strRef>
              <c:f>广州!$D$4</c:f>
              <c:strCache>
                <c:ptCount val="1"/>
                <c:pt idx="0">
                  <c:v>广州缝纫</c:v>
                </c:pt>
              </c:strCache>
            </c:strRef>
          </c:tx>
          <c:cat>
            <c:numRef>
              <c:f>广州!$E$2:$G$2</c:f>
              <c:numCache>
                <c:formatCode>General</c:formatCode>
                <c:ptCount val="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</c:numCache>
            </c:numRef>
          </c:cat>
          <c:val>
            <c:numRef>
              <c:f>广州!$E$4:$G$4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CE-45B5-AE0C-442EFA4022B2}"/>
            </c:ext>
          </c:extLst>
        </c:ser>
        <c:ser>
          <c:idx val="2"/>
          <c:order val="2"/>
          <c:tx>
            <c:strRef>
              <c:f>广州!$D$5</c:f>
              <c:strCache>
                <c:ptCount val="1"/>
                <c:pt idx="0">
                  <c:v>广州装配</c:v>
                </c:pt>
              </c:strCache>
            </c:strRef>
          </c:tx>
          <c:cat>
            <c:numRef>
              <c:f>广州!$E$2:$G$2</c:f>
              <c:numCache>
                <c:formatCode>General</c:formatCode>
                <c:ptCount val="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</c:numCache>
            </c:numRef>
          </c:cat>
          <c:val>
            <c:numRef>
              <c:f>广州!$E$5:$G$5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CE-45B5-AE0C-442EFA402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38976"/>
        <c:axId val="183844864"/>
      </c:lineChart>
      <c:catAx>
        <c:axId val="18383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3844864"/>
        <c:crosses val="autoZero"/>
        <c:auto val="1"/>
        <c:lblAlgn val="ctr"/>
        <c:lblOffset val="100"/>
        <c:noMultiLvlLbl val="0"/>
      </c:catAx>
      <c:valAx>
        <c:axId val="183844864"/>
        <c:scaling>
          <c:orientation val="minMax"/>
        </c:scaling>
        <c:delete val="0"/>
        <c:axPos val="l"/>
        <c:majorGridlines/>
        <c:numFmt formatCode="#,##0_);[Red]\(#,##0\)" sourceLinked="1"/>
        <c:majorTickMark val="out"/>
        <c:minorTickMark val="none"/>
        <c:tickLblPos val="nextTo"/>
        <c:crossAx val="183838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gradFill rotWithShape="1">
      <a:gsLst>
        <a:gs pos="0">
          <a:schemeClr val="accent5">
            <a:shade val="51000"/>
            <a:satMod val="130000"/>
          </a:schemeClr>
        </a:gs>
        <a:gs pos="80000">
          <a:schemeClr val="accent5">
            <a:shade val="93000"/>
            <a:satMod val="130000"/>
          </a:schemeClr>
        </a:gs>
        <a:gs pos="100000">
          <a:schemeClr val="accent5">
            <a:shade val="94000"/>
            <a:satMod val="135000"/>
          </a:schemeClr>
        </a:gs>
      </a:gsLst>
      <a:lin ang="16200000" scaled="0"/>
    </a:gradFill>
    <a:ln w="9525" cap="flat" cmpd="sng" algn="ctr">
      <a:solidFill>
        <a:schemeClr val="accent5">
          <a:shade val="95000"/>
          <a:satMod val="105000"/>
        </a:schemeClr>
      </a:solidFill>
      <a:prstDash val="solid"/>
    </a:ln>
    <a:effectLst>
      <a:outerShdw blurRad="40000" dist="23000" dir="5400000" rotWithShape="0">
        <a:srgbClr val="000000">
          <a:alpha val="35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武汉!$D$3</c:f>
              <c:strCache>
                <c:ptCount val="1"/>
                <c:pt idx="0">
                  <c:v>武汉发泡</c:v>
                </c:pt>
              </c:strCache>
            </c:strRef>
          </c:tx>
          <c:cat>
            <c:numRef>
              <c:f>武汉!$E$2:$G$2</c:f>
              <c:numCache>
                <c:formatCode>General</c:formatCode>
                <c:ptCount val="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</c:numCache>
            </c:numRef>
          </c:cat>
          <c:val>
            <c:numRef>
              <c:f>武汉!$E$3:$G$3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77-46B6-93EE-A78BBEB1D5AD}"/>
            </c:ext>
          </c:extLst>
        </c:ser>
        <c:ser>
          <c:idx val="1"/>
          <c:order val="1"/>
          <c:tx>
            <c:strRef>
              <c:f>武汉!$D$4</c:f>
              <c:strCache>
                <c:ptCount val="1"/>
                <c:pt idx="0">
                  <c:v>武汉缝纫</c:v>
                </c:pt>
              </c:strCache>
            </c:strRef>
          </c:tx>
          <c:cat>
            <c:numRef>
              <c:f>武汉!$E$2:$G$2</c:f>
              <c:numCache>
                <c:formatCode>General</c:formatCode>
                <c:ptCount val="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</c:numCache>
            </c:numRef>
          </c:cat>
          <c:val>
            <c:numRef>
              <c:f>武汉!$E$4:$G$4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77-46B6-93EE-A78BBEB1D5AD}"/>
            </c:ext>
          </c:extLst>
        </c:ser>
        <c:ser>
          <c:idx val="2"/>
          <c:order val="2"/>
          <c:tx>
            <c:strRef>
              <c:f>武汉!$D$5</c:f>
              <c:strCache>
                <c:ptCount val="1"/>
                <c:pt idx="0">
                  <c:v>武汉装配</c:v>
                </c:pt>
              </c:strCache>
            </c:strRef>
          </c:tx>
          <c:cat>
            <c:numRef>
              <c:f>武汉!$E$2:$G$2</c:f>
              <c:numCache>
                <c:formatCode>General</c:formatCode>
                <c:ptCount val="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</c:numCache>
            </c:numRef>
          </c:cat>
          <c:val>
            <c:numRef>
              <c:f>武汉!$E$5:$G$5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77-46B6-93EE-A78BBEB1D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916032"/>
        <c:axId val="183917568"/>
      </c:lineChart>
      <c:catAx>
        <c:axId val="183916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3917568"/>
        <c:crosses val="autoZero"/>
        <c:auto val="1"/>
        <c:lblAlgn val="ctr"/>
        <c:lblOffset val="100"/>
        <c:noMultiLvlLbl val="0"/>
      </c:catAx>
      <c:valAx>
        <c:axId val="183917568"/>
        <c:scaling>
          <c:orientation val="minMax"/>
        </c:scaling>
        <c:delete val="0"/>
        <c:axPos val="l"/>
        <c:majorGridlines/>
        <c:numFmt formatCode="#,##0_);[Red]\(#,##0\)" sourceLinked="1"/>
        <c:majorTickMark val="out"/>
        <c:minorTickMark val="none"/>
        <c:tickLblPos val="nextTo"/>
        <c:crossAx val="183916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gradFill rotWithShape="1">
      <a:gsLst>
        <a:gs pos="0">
          <a:schemeClr val="accent5">
            <a:shade val="51000"/>
            <a:satMod val="130000"/>
          </a:schemeClr>
        </a:gs>
        <a:gs pos="80000">
          <a:schemeClr val="accent5">
            <a:shade val="93000"/>
            <a:satMod val="130000"/>
          </a:schemeClr>
        </a:gs>
        <a:gs pos="100000">
          <a:schemeClr val="accent5">
            <a:shade val="94000"/>
            <a:satMod val="135000"/>
          </a:schemeClr>
        </a:gs>
      </a:gsLst>
      <a:lin ang="16200000" scaled="0"/>
    </a:gradFill>
    <a:ln w="9525" cap="flat" cmpd="sng" algn="ctr">
      <a:solidFill>
        <a:schemeClr val="accent5">
          <a:shade val="95000"/>
          <a:satMod val="105000"/>
        </a:schemeClr>
      </a:solidFill>
      <a:prstDash val="solid"/>
    </a:ln>
    <a:effectLst>
      <a:outerShdw blurRad="40000" dist="23000" dir="5400000" rotWithShape="0">
        <a:srgbClr val="000000">
          <a:alpha val="35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成都!$D$3</c:f>
              <c:strCache>
                <c:ptCount val="1"/>
                <c:pt idx="0">
                  <c:v>成都发泡</c:v>
                </c:pt>
              </c:strCache>
            </c:strRef>
          </c:tx>
          <c:cat>
            <c:numRef>
              <c:f>成都!$E$2:$G$2</c:f>
              <c:numCache>
                <c:formatCode>General</c:formatCode>
                <c:ptCount val="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</c:numCache>
            </c:numRef>
          </c:cat>
          <c:val>
            <c:numRef>
              <c:f>成都!$E$3:$G$3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11-4977-AA74-D9F92F5723EF}"/>
            </c:ext>
          </c:extLst>
        </c:ser>
        <c:ser>
          <c:idx val="1"/>
          <c:order val="1"/>
          <c:tx>
            <c:strRef>
              <c:f>成都!$D$4</c:f>
              <c:strCache>
                <c:ptCount val="1"/>
                <c:pt idx="0">
                  <c:v>成都缝纫</c:v>
                </c:pt>
              </c:strCache>
            </c:strRef>
          </c:tx>
          <c:cat>
            <c:numRef>
              <c:f>成都!$E$2:$G$2</c:f>
              <c:numCache>
                <c:formatCode>General</c:formatCode>
                <c:ptCount val="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</c:numCache>
            </c:numRef>
          </c:cat>
          <c:val>
            <c:numRef>
              <c:f>成都!$E$4:$G$4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11-4977-AA74-D9F92F5723EF}"/>
            </c:ext>
          </c:extLst>
        </c:ser>
        <c:ser>
          <c:idx val="2"/>
          <c:order val="2"/>
          <c:tx>
            <c:strRef>
              <c:f>成都!$D$5</c:f>
              <c:strCache>
                <c:ptCount val="1"/>
                <c:pt idx="0">
                  <c:v>成都装配</c:v>
                </c:pt>
              </c:strCache>
            </c:strRef>
          </c:tx>
          <c:cat>
            <c:numRef>
              <c:f>成都!$E$2:$G$2</c:f>
              <c:numCache>
                <c:formatCode>General</c:formatCode>
                <c:ptCount val="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</c:numCache>
            </c:numRef>
          </c:cat>
          <c:val>
            <c:numRef>
              <c:f>成都!$E$5:$G$5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11-4977-AA74-D9F92F572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943936"/>
        <c:axId val="183945472"/>
      </c:lineChart>
      <c:catAx>
        <c:axId val="183943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3945472"/>
        <c:crosses val="autoZero"/>
        <c:auto val="1"/>
        <c:lblAlgn val="ctr"/>
        <c:lblOffset val="100"/>
        <c:noMultiLvlLbl val="0"/>
      </c:catAx>
      <c:valAx>
        <c:axId val="183945472"/>
        <c:scaling>
          <c:orientation val="minMax"/>
        </c:scaling>
        <c:delete val="0"/>
        <c:axPos val="l"/>
        <c:majorGridlines/>
        <c:numFmt formatCode="#,##0_);[Red]\(#,##0\)" sourceLinked="1"/>
        <c:majorTickMark val="out"/>
        <c:minorTickMark val="none"/>
        <c:tickLblPos val="nextTo"/>
        <c:crossAx val="183943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gradFill rotWithShape="1">
      <a:gsLst>
        <a:gs pos="0">
          <a:schemeClr val="accent5">
            <a:shade val="51000"/>
            <a:satMod val="130000"/>
          </a:schemeClr>
        </a:gs>
        <a:gs pos="80000">
          <a:schemeClr val="accent5">
            <a:shade val="93000"/>
            <a:satMod val="130000"/>
          </a:schemeClr>
        </a:gs>
        <a:gs pos="100000">
          <a:schemeClr val="accent5">
            <a:shade val="94000"/>
            <a:satMod val="135000"/>
          </a:schemeClr>
        </a:gs>
      </a:gsLst>
      <a:lin ang="16200000" scaled="0"/>
    </a:gradFill>
    <a:ln w="9525" cap="flat" cmpd="sng" algn="ctr">
      <a:solidFill>
        <a:schemeClr val="accent5">
          <a:shade val="95000"/>
          <a:satMod val="105000"/>
        </a:schemeClr>
      </a:solidFill>
      <a:prstDash val="solid"/>
    </a:ln>
    <a:effectLst>
      <a:outerShdw blurRad="40000" dist="23000" dir="5400000" rotWithShape="0">
        <a:srgbClr val="000000">
          <a:alpha val="35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重庆!$D$3</c:f>
              <c:strCache>
                <c:ptCount val="1"/>
                <c:pt idx="0">
                  <c:v>重庆发泡</c:v>
                </c:pt>
              </c:strCache>
            </c:strRef>
          </c:tx>
          <c:cat>
            <c:numRef>
              <c:f>重庆!$E$2:$G$2</c:f>
              <c:numCache>
                <c:formatCode>General</c:formatCode>
                <c:ptCount val="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</c:numCache>
            </c:numRef>
          </c:cat>
          <c:val>
            <c:numRef>
              <c:f>重庆!$E$3:$G$3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EE-4807-AD9E-187A3879F310}"/>
            </c:ext>
          </c:extLst>
        </c:ser>
        <c:ser>
          <c:idx val="1"/>
          <c:order val="1"/>
          <c:tx>
            <c:strRef>
              <c:f>重庆!$D$4</c:f>
              <c:strCache>
                <c:ptCount val="1"/>
                <c:pt idx="0">
                  <c:v>重庆装配</c:v>
                </c:pt>
              </c:strCache>
            </c:strRef>
          </c:tx>
          <c:cat>
            <c:numRef>
              <c:f>重庆!$E$2:$G$2</c:f>
              <c:numCache>
                <c:formatCode>General</c:formatCode>
                <c:ptCount val="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</c:numCache>
            </c:numRef>
          </c:cat>
          <c:val>
            <c:numRef>
              <c:f>重庆!$E$4:$G$4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EE-4807-AD9E-187A3879F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155136"/>
        <c:axId val="184550144"/>
      </c:lineChart>
      <c:catAx>
        <c:axId val="184155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4550144"/>
        <c:crosses val="autoZero"/>
        <c:auto val="1"/>
        <c:lblAlgn val="ctr"/>
        <c:lblOffset val="100"/>
        <c:noMultiLvlLbl val="0"/>
      </c:catAx>
      <c:valAx>
        <c:axId val="184550144"/>
        <c:scaling>
          <c:orientation val="minMax"/>
        </c:scaling>
        <c:delete val="0"/>
        <c:axPos val="l"/>
        <c:majorGridlines/>
        <c:numFmt formatCode="#,##0_);[Red]\(#,##0\)" sourceLinked="1"/>
        <c:majorTickMark val="out"/>
        <c:minorTickMark val="none"/>
        <c:tickLblPos val="nextTo"/>
        <c:crossAx val="1841551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gradFill rotWithShape="1">
      <a:gsLst>
        <a:gs pos="0">
          <a:schemeClr val="accent5">
            <a:shade val="51000"/>
            <a:satMod val="130000"/>
          </a:schemeClr>
        </a:gs>
        <a:gs pos="80000">
          <a:schemeClr val="accent5">
            <a:shade val="93000"/>
            <a:satMod val="130000"/>
          </a:schemeClr>
        </a:gs>
        <a:gs pos="100000">
          <a:schemeClr val="accent5">
            <a:shade val="94000"/>
            <a:satMod val="135000"/>
          </a:schemeClr>
        </a:gs>
      </a:gsLst>
      <a:lin ang="16200000" scaled="0"/>
    </a:gradFill>
    <a:ln w="9525" cap="flat" cmpd="sng" algn="ctr">
      <a:solidFill>
        <a:schemeClr val="accent5">
          <a:shade val="95000"/>
          <a:satMod val="105000"/>
        </a:schemeClr>
      </a:solidFill>
      <a:prstDash val="solid"/>
    </a:ln>
    <a:effectLst>
      <a:outerShdw blurRad="40000" dist="23000" dir="5400000" rotWithShape="0">
        <a:srgbClr val="000000">
          <a:alpha val="35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000000000000344" l="0.70000000000000062" r="0.70000000000000062" t="0.750000000000003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8</xdr:row>
      <xdr:rowOff>85725</xdr:rowOff>
    </xdr:from>
    <xdr:to>
      <xdr:col>11</xdr:col>
      <xdr:colOff>457201</xdr:colOff>
      <xdr:row>30</xdr:row>
      <xdr:rowOff>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28575</xdr:colOff>
      <xdr:row>76</xdr:row>
      <xdr:rowOff>66675</xdr:rowOff>
    </xdr:from>
    <xdr:to>
      <xdr:col>18</xdr:col>
      <xdr:colOff>609600</xdr:colOff>
      <xdr:row>94</xdr:row>
      <xdr:rowOff>66675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28575</xdr:colOff>
      <xdr:row>108</xdr:row>
      <xdr:rowOff>0</xdr:rowOff>
    </xdr:from>
    <xdr:to>
      <xdr:col>18</xdr:col>
      <xdr:colOff>609600</xdr:colOff>
      <xdr:row>126</xdr:row>
      <xdr:rowOff>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9</xdr:row>
      <xdr:rowOff>171449</xdr:rowOff>
    </xdr:from>
    <xdr:to>
      <xdr:col>10</xdr:col>
      <xdr:colOff>390525</xdr:colOff>
      <xdr:row>23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9523</xdr:colOff>
      <xdr:row>7</xdr:row>
      <xdr:rowOff>19050</xdr:rowOff>
    </xdr:from>
    <xdr:to>
      <xdr:col>11</xdr:col>
      <xdr:colOff>542924</xdr:colOff>
      <xdr:row>19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7</xdr:row>
      <xdr:rowOff>19051</xdr:rowOff>
    </xdr:from>
    <xdr:to>
      <xdr:col>11</xdr:col>
      <xdr:colOff>342899</xdr:colOff>
      <xdr:row>16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7</xdr:row>
      <xdr:rowOff>19050</xdr:rowOff>
    </xdr:from>
    <xdr:to>
      <xdr:col>12</xdr:col>
      <xdr:colOff>76200</xdr:colOff>
      <xdr:row>18</xdr:row>
      <xdr:rowOff>142875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685799</xdr:colOff>
      <xdr:row>6</xdr:row>
      <xdr:rowOff>142876</xdr:rowOff>
    </xdr:from>
    <xdr:to>
      <xdr:col>10</xdr:col>
      <xdr:colOff>361950</xdr:colOff>
      <xdr:row>15</xdr:row>
      <xdr:rowOff>161925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685799</xdr:colOff>
      <xdr:row>5</xdr:row>
      <xdr:rowOff>142876</xdr:rowOff>
    </xdr:from>
    <xdr:to>
      <xdr:col>10</xdr:col>
      <xdr:colOff>361950</xdr:colOff>
      <xdr:row>14</xdr:row>
      <xdr:rowOff>161925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1132.455251736108" createdVersion="3" refreshedVersion="3" minRefreshableVersion="3" recordCount="17" xr:uid="{00000000-000A-0000-FFFF-FFFF01000000}">
  <cacheSource type="worksheet">
    <worksheetSource ref="H37:L54" sheet="公司整体"/>
  </cacheSource>
  <cacheFields count="5">
    <cacheField name="城市" numFmtId="177">
      <sharedItems count="6">
        <s v="宁波"/>
        <s v="长春"/>
        <s v="广州"/>
        <s v="武汉"/>
        <s v="成都"/>
        <s v="重庆"/>
      </sharedItems>
    </cacheField>
    <cacheField name="产品" numFmtId="177">
      <sharedItems count="3">
        <s v="发泡"/>
        <s v="装配"/>
        <s v="缝纫"/>
      </sharedItems>
    </cacheField>
    <cacheField name="2013" numFmtId="0">
      <sharedItems containsSemiMixedTypes="0" containsString="0" containsNumber="1" containsInteger="1" minValue="210000" maxValue="3560213" count="13">
        <n v="3560213"/>
        <n v="2522706"/>
        <n v="3544916"/>
        <n v="3540635"/>
        <n v="3210635"/>
        <n v="918985"/>
        <n v="288667"/>
        <n v="798985"/>
        <n v="1599978"/>
        <n v="1241608"/>
        <n v="1559160"/>
        <n v="1076700"/>
        <n v="210000"/>
      </sharedItems>
    </cacheField>
    <cacheField name="2014" numFmtId="0">
      <sharedItems containsSemiMixedTypes="0" containsString="0" containsNumber="1" containsInteger="1" minValue="250000" maxValue="3083361" count="13">
        <n v="3083361"/>
        <n v="2946564"/>
        <n v="2948564"/>
        <n v="3032600"/>
        <n v="2952600"/>
        <n v="2383800"/>
        <n v="1271000"/>
        <n v="2101000"/>
        <n v="2363927"/>
        <n v="1546426"/>
        <n v="2163927"/>
        <n v="996550"/>
        <n v="250000"/>
      </sharedItems>
    </cacheField>
    <cacheField name="2015" numFmtId="0">
      <sharedItems containsSemiMixedTypes="0" containsString="0" containsNumber="1" containsInteger="1" minValue="250000" maxValue="3172600" count="12">
        <n v="2959334"/>
        <n v="2724334"/>
        <n v="3172600"/>
        <n v="3092600"/>
        <n v="2695800"/>
        <n v="1583000"/>
        <n v="2413000"/>
        <n v="2616426"/>
        <n v="1526426"/>
        <n v="2436426"/>
        <n v="1070800"/>
        <n v="250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">
  <r>
    <x v="0"/>
    <x v="0"/>
    <x v="0"/>
    <x v="0"/>
    <x v="0"/>
  </r>
  <r>
    <x v="0"/>
    <x v="1"/>
    <x v="1"/>
    <x v="1"/>
    <x v="1"/>
  </r>
  <r>
    <x v="0"/>
    <x v="2"/>
    <x v="2"/>
    <x v="2"/>
    <x v="1"/>
  </r>
  <r>
    <x v="1"/>
    <x v="0"/>
    <x v="3"/>
    <x v="3"/>
    <x v="2"/>
  </r>
  <r>
    <x v="1"/>
    <x v="2"/>
    <x v="4"/>
    <x v="4"/>
    <x v="3"/>
  </r>
  <r>
    <x v="1"/>
    <x v="1"/>
    <x v="4"/>
    <x v="4"/>
    <x v="3"/>
  </r>
  <r>
    <x v="2"/>
    <x v="0"/>
    <x v="5"/>
    <x v="5"/>
    <x v="4"/>
  </r>
  <r>
    <x v="2"/>
    <x v="2"/>
    <x v="6"/>
    <x v="6"/>
    <x v="5"/>
  </r>
  <r>
    <x v="2"/>
    <x v="1"/>
    <x v="7"/>
    <x v="7"/>
    <x v="6"/>
  </r>
  <r>
    <x v="3"/>
    <x v="0"/>
    <x v="8"/>
    <x v="8"/>
    <x v="7"/>
  </r>
  <r>
    <x v="3"/>
    <x v="2"/>
    <x v="9"/>
    <x v="9"/>
    <x v="8"/>
  </r>
  <r>
    <x v="3"/>
    <x v="1"/>
    <x v="10"/>
    <x v="10"/>
    <x v="9"/>
  </r>
  <r>
    <x v="4"/>
    <x v="0"/>
    <x v="11"/>
    <x v="11"/>
    <x v="10"/>
  </r>
  <r>
    <x v="4"/>
    <x v="2"/>
    <x v="11"/>
    <x v="11"/>
    <x v="10"/>
  </r>
  <r>
    <x v="4"/>
    <x v="1"/>
    <x v="11"/>
    <x v="11"/>
    <x v="10"/>
  </r>
  <r>
    <x v="5"/>
    <x v="0"/>
    <x v="12"/>
    <x v="12"/>
    <x v="11"/>
  </r>
  <r>
    <x v="5"/>
    <x v="1"/>
    <x v="12"/>
    <x v="12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数据透视表3" cacheId="0" applyNumberFormats="0" applyBorderFormats="0" applyFontFormats="0" applyPatternFormats="0" applyAlignmentFormats="0" applyWidthHeightFormats="1" dataCaption="值" updatedVersion="3" minRefreshableVersion="3" showCalcMbrs="0" useAutoFormatting="1" itemPrintTitles="1" createdVersion="3" indent="0" outline="1" outlineData="1" multipleFieldFilters="0" chartFormat="52">
  <location ref="N69:U74" firstHeaderRow="1" firstDataRow="2" firstDataCol="1" rowPageCount="2" colPageCount="1"/>
  <pivotFields count="5">
    <pivotField axis="axisCol" showAll="0">
      <items count="7">
        <item x="1"/>
        <item x="4"/>
        <item x="2"/>
        <item x="0"/>
        <item x="3"/>
        <item x="5"/>
        <item t="default"/>
      </items>
    </pivotField>
    <pivotField axis="axisRow" showAll="0">
      <items count="4">
        <item x="0"/>
        <item x="2"/>
        <item x="1"/>
        <item t="default"/>
      </items>
    </pivotField>
    <pivotField axis="axisPage" showAll="0">
      <items count="14">
        <item x="12"/>
        <item x="6"/>
        <item x="7"/>
        <item x="5"/>
        <item x="11"/>
        <item x="9"/>
        <item x="10"/>
        <item x="8"/>
        <item x="1"/>
        <item x="4"/>
        <item x="3"/>
        <item x="2"/>
        <item x="0"/>
        <item t="default"/>
      </items>
    </pivotField>
    <pivotField dataField="1" showAll="0"/>
    <pivotField axis="axisPage" showAll="0">
      <items count="13">
        <item x="11"/>
        <item x="10"/>
        <item x="8"/>
        <item x="5"/>
        <item x="6"/>
        <item x="9"/>
        <item x="7"/>
        <item x="4"/>
        <item x="1"/>
        <item x="0"/>
        <item x="3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2">
    <pageField fld="4" hier="-1"/>
    <pageField fld="2" hier="-1"/>
  </pageFields>
  <dataFields count="1">
    <dataField name="求和项:2014" fld="3" baseField="0" baseItem="0"/>
  </dataFields>
  <chartFormats count="6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数据透视表2" cacheId="0" applyNumberFormats="0" applyBorderFormats="0" applyFontFormats="0" applyPatternFormats="0" applyAlignmentFormats="0" applyWidthHeightFormats="1" dataCaption="值" updatedVersion="3" minRefreshableVersion="3" showCalcMbrs="0" useAutoFormatting="1" itemPrintTitles="1" createdVersion="3" indent="0" outline="1" outlineData="1" multipleFieldFilters="0" chartFormat="54">
  <location ref="N37:U42" firstHeaderRow="1" firstDataRow="2" firstDataCol="1" rowPageCount="2" colPageCount="1"/>
  <pivotFields count="5">
    <pivotField axis="axisCol" showAll="0">
      <items count="7">
        <item x="1"/>
        <item x="4"/>
        <item x="2"/>
        <item x="0"/>
        <item x="3"/>
        <item x="5"/>
        <item t="default"/>
      </items>
    </pivotField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3"/>
            </reference>
          </references>
        </pivotArea>
      </autoSortScope>
    </pivotField>
    <pivotField dataField="1" showAll="0"/>
    <pivotField axis="axisPage" showAll="0">
      <items count="14">
        <item x="12"/>
        <item x="11"/>
        <item x="6"/>
        <item x="9"/>
        <item x="7"/>
        <item x="10"/>
        <item x="8"/>
        <item x="5"/>
        <item x="1"/>
        <item x="2"/>
        <item x="4"/>
        <item x="3"/>
        <item x="0"/>
        <item t="default"/>
      </items>
    </pivotField>
    <pivotField axis="axisPage" showAll="0">
      <items count="13">
        <item x="11"/>
        <item x="10"/>
        <item x="8"/>
        <item x="5"/>
        <item x="6"/>
        <item x="9"/>
        <item x="7"/>
        <item x="4"/>
        <item x="1"/>
        <item x="0"/>
        <item x="3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2">
    <pageField fld="3" hier="-1"/>
    <pageField fld="4" hier="-1"/>
  </pageFields>
  <dataFields count="1">
    <dataField name="求和项:2013" fld="2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数据透视表4" cacheId="0" applyNumberFormats="0" applyBorderFormats="0" applyFontFormats="0" applyPatternFormats="0" applyAlignmentFormats="0" applyWidthHeightFormats="1" dataCaption="值" updatedVersion="3" minRefreshableVersion="3" showCalcMbrs="0" useAutoFormatting="1" itemPrintTitles="1" createdVersion="3" indent="0" outline="1" outlineData="1" multipleFieldFilters="0" chartFormat="54">
  <location ref="N101:U106" firstHeaderRow="1" firstDataRow="2" firstDataCol="1" rowPageCount="2" colPageCount="1"/>
  <pivotFields count="5">
    <pivotField axis="axisCol" showAll="0">
      <items count="7">
        <item x="1"/>
        <item x="4"/>
        <item x="2"/>
        <item x="0"/>
        <item x="3"/>
        <item x="5"/>
        <item t="default"/>
      </items>
    </pivotField>
    <pivotField axis="axisRow" showAll="0">
      <items count="4">
        <item x="0"/>
        <item x="2"/>
        <item x="1"/>
        <item t="default"/>
      </items>
    </pivotField>
    <pivotField axis="axisPage" showAll="0">
      <items count="14">
        <item x="12"/>
        <item x="6"/>
        <item x="7"/>
        <item x="5"/>
        <item x="11"/>
        <item x="9"/>
        <item x="10"/>
        <item x="8"/>
        <item x="1"/>
        <item x="4"/>
        <item x="3"/>
        <item x="2"/>
        <item x="0"/>
        <item t="default"/>
      </items>
    </pivotField>
    <pivotField axis="axisPage" showAll="0">
      <items count="14">
        <item x="12"/>
        <item x="11"/>
        <item x="6"/>
        <item x="9"/>
        <item x="7"/>
        <item x="10"/>
        <item x="8"/>
        <item x="5"/>
        <item x="1"/>
        <item x="2"/>
        <item x="4"/>
        <item x="3"/>
        <item x="0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2">
    <pageField fld="2" hier="-1"/>
    <pageField fld="3" hier="-1"/>
  </pageFields>
  <dataFields count="1">
    <dataField name="求和项:2015" fld="4" baseField="0" baseItem="0"/>
  </dataFields>
  <chartFormats count="6">
    <chartFormat chart="3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96"/>
  <sheetViews>
    <sheetView showGridLines="0" zoomScale="115" zoomScaleNormal="115" zoomScaleSheetLayoutView="100" workbookViewId="0">
      <pane ySplit="3" topLeftCell="A142" activePane="bottomLeft" state="frozen"/>
      <selection pane="bottomLeft" activeCell="U132" sqref="U132"/>
    </sheetView>
  </sheetViews>
  <sheetFormatPr defaultColWidth="9" defaultRowHeight="11.4"/>
  <cols>
    <col min="1" max="1" width="4" style="3" customWidth="1"/>
    <col min="2" max="2" width="12.33203125" style="3" bestFit="1" customWidth="1"/>
    <col min="3" max="3" width="13.33203125" style="3" customWidth="1"/>
    <col min="4" max="4" width="10" style="3" customWidth="1"/>
    <col min="5" max="5" width="15.109375" style="3" customWidth="1"/>
    <col min="6" max="6" width="8.6640625" style="6" customWidth="1"/>
    <col min="7" max="8" width="8.6640625" style="3" customWidth="1"/>
    <col min="9" max="9" width="3.77734375" style="3" customWidth="1"/>
    <col min="10" max="22" width="2.6640625" style="3" customWidth="1"/>
    <col min="23" max="23" width="11.21875" style="3" customWidth="1"/>
    <col min="24" max="26" width="7.44140625" style="3" customWidth="1"/>
    <col min="27" max="27" width="6.77734375" style="3" customWidth="1"/>
    <col min="28" max="28" width="12.77734375" style="3" customWidth="1"/>
    <col min="29" max="30" width="6.77734375" style="3" customWidth="1"/>
    <col min="31" max="31" width="6" style="3" customWidth="1"/>
    <col min="32" max="36" width="6.77734375" style="3" customWidth="1"/>
    <col min="37" max="37" width="6" style="3" customWidth="1"/>
    <col min="38" max="40" width="6.77734375" style="3" customWidth="1"/>
    <col min="41" max="41" width="16.33203125" style="4" customWidth="1"/>
    <col min="42" max="42" width="9" style="3" customWidth="1"/>
    <col min="43" max="16384" width="9" style="3"/>
  </cols>
  <sheetData>
    <row r="1" spans="1:41" s="5" customFormat="1" ht="15.75" customHeight="1" thickBot="1">
      <c r="A1" s="379" t="s">
        <v>228</v>
      </c>
      <c r="B1" s="379"/>
      <c r="C1" s="379"/>
      <c r="D1" s="379"/>
      <c r="E1" s="379"/>
      <c r="F1" s="379"/>
      <c r="G1" s="379"/>
      <c r="H1" s="379"/>
    </row>
    <row r="2" spans="1:41" ht="24.75" customHeight="1" thickBot="1">
      <c r="A2" s="380"/>
      <c r="B2" s="380"/>
      <c r="C2" s="380"/>
      <c r="D2" s="380"/>
      <c r="E2" s="380"/>
      <c r="F2" s="380"/>
      <c r="G2" s="380"/>
      <c r="H2" s="380"/>
      <c r="I2" s="393" t="s">
        <v>111</v>
      </c>
      <c r="J2" s="395" t="s">
        <v>112</v>
      </c>
      <c r="K2" s="401" t="s">
        <v>336</v>
      </c>
      <c r="L2" s="395" t="s">
        <v>113</v>
      </c>
      <c r="M2" s="395" t="s">
        <v>114</v>
      </c>
      <c r="N2" s="407" t="s">
        <v>115</v>
      </c>
      <c r="O2" s="40"/>
      <c r="P2" s="397" t="s">
        <v>116</v>
      </c>
      <c r="Q2" s="395" t="s">
        <v>117</v>
      </c>
      <c r="R2" s="395" t="s">
        <v>118</v>
      </c>
      <c r="S2" s="395" t="s">
        <v>119</v>
      </c>
      <c r="T2" s="395" t="s">
        <v>120</v>
      </c>
      <c r="U2" s="391" t="s">
        <v>121</v>
      </c>
      <c r="AO2" s="3"/>
    </row>
    <row r="3" spans="1:41" ht="13.5" customHeight="1" thickBot="1">
      <c r="A3" s="41" t="s">
        <v>122</v>
      </c>
      <c r="B3" s="92" t="s">
        <v>123</v>
      </c>
      <c r="C3" s="92" t="s">
        <v>125</v>
      </c>
      <c r="D3" s="92" t="s">
        <v>229</v>
      </c>
      <c r="E3" s="92" t="s">
        <v>124</v>
      </c>
      <c r="F3" s="92">
        <v>2013</v>
      </c>
      <c r="G3" s="92">
        <v>2014</v>
      </c>
      <c r="H3" s="92">
        <v>2015</v>
      </c>
      <c r="I3" s="394"/>
      <c r="J3" s="396"/>
      <c r="K3" s="402"/>
      <c r="L3" s="396"/>
      <c r="M3" s="396"/>
      <c r="N3" s="408"/>
      <c r="O3" s="141"/>
      <c r="P3" s="394"/>
      <c r="Q3" s="396"/>
      <c r="R3" s="396"/>
      <c r="S3" s="396"/>
      <c r="T3" s="396"/>
      <c r="U3" s="392"/>
      <c r="AO3" s="3"/>
    </row>
    <row r="4" spans="1:41" ht="9.9" customHeight="1">
      <c r="A4" s="10">
        <v>1</v>
      </c>
      <c r="B4" s="230" t="s">
        <v>309</v>
      </c>
      <c r="C4" s="231" t="s">
        <v>310</v>
      </c>
      <c r="D4" s="232" t="s">
        <v>311</v>
      </c>
      <c r="E4" s="233" t="s">
        <v>1</v>
      </c>
      <c r="F4" s="234">
        <v>50000</v>
      </c>
      <c r="G4" s="239"/>
      <c r="H4" s="240"/>
      <c r="I4" s="137"/>
      <c r="J4" s="138">
        <v>5</v>
      </c>
      <c r="K4" s="138"/>
      <c r="L4" s="138"/>
      <c r="M4" s="138"/>
      <c r="N4" s="139"/>
      <c r="O4" s="398"/>
      <c r="P4" s="137"/>
      <c r="Q4" s="138">
        <v>1</v>
      </c>
      <c r="R4" s="138"/>
      <c r="S4" s="138"/>
      <c r="T4" s="138"/>
      <c r="U4" s="140"/>
      <c r="AO4" s="3"/>
    </row>
    <row r="5" spans="1:41" s="7" customFormat="1" ht="9.9" customHeight="1">
      <c r="A5" s="226">
        <v>2</v>
      </c>
      <c r="B5" s="207" t="s">
        <v>2</v>
      </c>
      <c r="C5" s="209" t="s">
        <v>128</v>
      </c>
      <c r="D5" s="209" t="s">
        <v>239</v>
      </c>
      <c r="E5" s="225" t="s">
        <v>241</v>
      </c>
      <c r="F5" s="202">
        <v>20000</v>
      </c>
      <c r="G5" s="220">
        <v>10000</v>
      </c>
      <c r="H5" s="221">
        <v>10000</v>
      </c>
      <c r="I5" s="222">
        <v>5</v>
      </c>
      <c r="J5" s="223">
        <v>6</v>
      </c>
      <c r="K5" s="223"/>
      <c r="L5" s="223"/>
      <c r="M5" s="223">
        <v>6</v>
      </c>
      <c r="N5" s="224">
        <v>6</v>
      </c>
      <c r="O5" s="398"/>
      <c r="P5" s="9"/>
      <c r="Q5" s="1">
        <v>1</v>
      </c>
      <c r="R5" s="1"/>
      <c r="S5" s="1"/>
      <c r="T5" s="1"/>
      <c r="U5" s="2"/>
      <c r="V5" s="3"/>
      <c r="W5" s="3"/>
      <c r="Z5" s="3"/>
    </row>
    <row r="6" spans="1:41" ht="9.9" customHeight="1">
      <c r="A6" s="226">
        <v>3</v>
      </c>
      <c r="B6" s="207" t="s">
        <v>3</v>
      </c>
      <c r="C6" s="208" t="s">
        <v>128</v>
      </c>
      <c r="D6" s="209" t="s">
        <v>239</v>
      </c>
      <c r="E6" s="225" t="s">
        <v>241</v>
      </c>
      <c r="F6" s="202">
        <v>20000</v>
      </c>
      <c r="G6" s="220">
        <v>10000</v>
      </c>
      <c r="H6" s="221">
        <v>10000</v>
      </c>
      <c r="I6" s="222">
        <v>5</v>
      </c>
      <c r="J6" s="223">
        <v>6</v>
      </c>
      <c r="K6" s="223"/>
      <c r="L6" s="223"/>
      <c r="M6" s="223">
        <v>6</v>
      </c>
      <c r="N6" s="224">
        <v>6</v>
      </c>
      <c r="O6" s="398"/>
      <c r="P6" s="9"/>
      <c r="Q6" s="1">
        <v>1</v>
      </c>
      <c r="R6" s="1"/>
      <c r="S6" s="1"/>
      <c r="T6" s="1"/>
      <c r="U6" s="2"/>
      <c r="AO6" s="3"/>
    </row>
    <row r="7" spans="1:41" ht="9.9" customHeight="1">
      <c r="A7" s="226">
        <v>4</v>
      </c>
      <c r="B7" s="207" t="s">
        <v>348</v>
      </c>
      <c r="C7" s="209" t="s">
        <v>342</v>
      </c>
      <c r="D7" s="209" t="s">
        <v>239</v>
      </c>
      <c r="E7" s="225" t="s">
        <v>1</v>
      </c>
      <c r="F7" s="202">
        <v>50000</v>
      </c>
      <c r="G7" s="241"/>
      <c r="H7" s="242"/>
      <c r="I7" s="222">
        <v>4</v>
      </c>
      <c r="J7" s="223">
        <v>1</v>
      </c>
      <c r="K7" s="223">
        <v>4</v>
      </c>
      <c r="L7" s="223"/>
      <c r="M7" s="223">
        <v>1</v>
      </c>
      <c r="N7" s="224">
        <v>5</v>
      </c>
      <c r="O7" s="398"/>
      <c r="P7" s="9"/>
      <c r="Q7" s="1">
        <v>1</v>
      </c>
      <c r="R7" s="1"/>
      <c r="S7" s="1"/>
      <c r="T7" s="1"/>
      <c r="U7" s="2"/>
      <c r="AO7" s="3"/>
    </row>
    <row r="8" spans="1:41" ht="9.9" customHeight="1">
      <c r="A8" s="226">
        <v>5</v>
      </c>
      <c r="B8" s="207" t="s">
        <v>4</v>
      </c>
      <c r="C8" s="208" t="s">
        <v>349</v>
      </c>
      <c r="D8" s="209" t="s">
        <v>350</v>
      </c>
      <c r="E8" s="225" t="s">
        <v>5</v>
      </c>
      <c r="F8" s="202">
        <v>43200</v>
      </c>
      <c r="G8" s="220">
        <v>43200</v>
      </c>
      <c r="H8" s="221">
        <v>43200</v>
      </c>
      <c r="I8" s="222">
        <v>4</v>
      </c>
      <c r="J8" s="223">
        <v>3</v>
      </c>
      <c r="K8" s="223">
        <v>1</v>
      </c>
      <c r="L8" s="223"/>
      <c r="M8" s="223">
        <v>3</v>
      </c>
      <c r="N8" s="224">
        <v>4</v>
      </c>
      <c r="O8" s="398"/>
      <c r="P8" s="9"/>
      <c r="Q8" s="1"/>
      <c r="R8" s="1"/>
      <c r="S8" s="1"/>
      <c r="T8" s="1">
        <v>1</v>
      </c>
      <c r="U8" s="2"/>
      <c r="AO8" s="3"/>
    </row>
    <row r="9" spans="1:41" ht="9.9" customHeight="1">
      <c r="A9" s="226">
        <v>6</v>
      </c>
      <c r="B9" s="207" t="s">
        <v>6</v>
      </c>
      <c r="C9" s="208" t="s">
        <v>351</v>
      </c>
      <c r="D9" s="209" t="s">
        <v>350</v>
      </c>
      <c r="E9" s="225" t="s">
        <v>7</v>
      </c>
      <c r="F9" s="202">
        <v>2591</v>
      </c>
      <c r="G9" s="220">
        <v>50000</v>
      </c>
      <c r="H9" s="221">
        <v>50000</v>
      </c>
      <c r="I9" s="222">
        <v>3</v>
      </c>
      <c r="J9" s="223">
        <v>2</v>
      </c>
      <c r="K9" s="223"/>
      <c r="L9" s="223"/>
      <c r="M9" s="223"/>
      <c r="N9" s="224"/>
      <c r="O9" s="398"/>
      <c r="P9" s="9"/>
      <c r="Q9" s="1"/>
      <c r="R9" s="1"/>
      <c r="S9" s="1"/>
      <c r="T9" s="1">
        <v>1</v>
      </c>
      <c r="U9" s="2"/>
      <c r="AO9" s="3"/>
    </row>
    <row r="10" spans="1:41" ht="9.9" customHeight="1">
      <c r="A10" s="226">
        <v>7</v>
      </c>
      <c r="B10" s="207" t="s">
        <v>8</v>
      </c>
      <c r="C10" s="208" t="s">
        <v>352</v>
      </c>
      <c r="D10" s="209" t="s">
        <v>353</v>
      </c>
      <c r="E10" s="225" t="s">
        <v>7</v>
      </c>
      <c r="F10" s="202">
        <v>25000</v>
      </c>
      <c r="G10" s="202">
        <v>25000</v>
      </c>
      <c r="H10" s="210">
        <v>25000</v>
      </c>
      <c r="I10" s="222"/>
      <c r="J10" s="223"/>
      <c r="K10" s="223"/>
      <c r="L10" s="223"/>
      <c r="M10" s="223">
        <v>4</v>
      </c>
      <c r="N10" s="224"/>
      <c r="O10" s="398"/>
      <c r="P10" s="9"/>
      <c r="Q10" s="1"/>
      <c r="R10" s="1"/>
      <c r="S10" s="1"/>
      <c r="T10" s="1">
        <v>1</v>
      </c>
      <c r="U10" s="2"/>
      <c r="AO10" s="3"/>
    </row>
    <row r="11" spans="1:41" ht="9.9" customHeight="1">
      <c r="A11" s="249">
        <v>8</v>
      </c>
      <c r="B11" s="250" t="s">
        <v>9</v>
      </c>
      <c r="C11" s="251" t="s">
        <v>354</v>
      </c>
      <c r="D11" s="251" t="s">
        <v>353</v>
      </c>
      <c r="E11" s="252" t="s">
        <v>10</v>
      </c>
      <c r="F11" s="253">
        <v>30000</v>
      </c>
      <c r="G11" s="254">
        <v>100000</v>
      </c>
      <c r="H11" s="255">
        <v>100000</v>
      </c>
      <c r="I11" s="282">
        <v>3</v>
      </c>
      <c r="J11" s="283">
        <v>2</v>
      </c>
      <c r="K11" s="283"/>
      <c r="L11" s="283"/>
      <c r="M11" s="283"/>
      <c r="N11" s="284"/>
      <c r="O11" s="398"/>
      <c r="P11" s="9"/>
      <c r="Q11" s="1"/>
      <c r="R11" s="1"/>
      <c r="S11" s="1"/>
      <c r="T11" s="1">
        <v>1</v>
      </c>
      <c r="U11" s="2"/>
      <c r="AO11" s="3"/>
    </row>
    <row r="12" spans="1:41" ht="9.9" customHeight="1">
      <c r="A12" s="226">
        <v>9</v>
      </c>
      <c r="B12" s="207" t="s">
        <v>355</v>
      </c>
      <c r="C12" s="208" t="s">
        <v>356</v>
      </c>
      <c r="D12" s="209" t="s">
        <v>353</v>
      </c>
      <c r="E12" s="225" t="s">
        <v>11</v>
      </c>
      <c r="F12" s="202">
        <v>18909</v>
      </c>
      <c r="G12" s="220">
        <v>20000</v>
      </c>
      <c r="H12" s="221">
        <v>20000</v>
      </c>
      <c r="I12" s="222">
        <v>5</v>
      </c>
      <c r="J12" s="223"/>
      <c r="K12" s="223"/>
      <c r="L12" s="223"/>
      <c r="M12" s="223"/>
      <c r="N12" s="224"/>
      <c r="O12" s="398"/>
      <c r="P12" s="9"/>
      <c r="Q12" s="1"/>
      <c r="R12" s="1"/>
      <c r="S12" s="1"/>
      <c r="T12" s="1">
        <v>1</v>
      </c>
      <c r="U12" s="2"/>
      <c r="AO12" s="3"/>
    </row>
    <row r="13" spans="1:41" ht="9.9" customHeight="1">
      <c r="A13" s="226">
        <v>10</v>
      </c>
      <c r="B13" s="207" t="s">
        <v>357</v>
      </c>
      <c r="C13" s="208" t="s">
        <v>358</v>
      </c>
      <c r="D13" s="209" t="s">
        <v>359</v>
      </c>
      <c r="E13" s="225" t="s">
        <v>360</v>
      </c>
      <c r="F13" s="202">
        <v>107595</v>
      </c>
      <c r="G13" s="241"/>
      <c r="H13" s="242"/>
      <c r="I13" s="222">
        <v>5</v>
      </c>
      <c r="J13" s="223">
        <v>1</v>
      </c>
      <c r="K13" s="223">
        <v>5</v>
      </c>
      <c r="L13" s="223">
        <v>1</v>
      </c>
      <c r="M13" s="223">
        <v>1</v>
      </c>
      <c r="N13" s="224">
        <v>6</v>
      </c>
      <c r="O13" s="398"/>
      <c r="P13" s="9">
        <v>1</v>
      </c>
      <c r="Q13" s="1"/>
      <c r="R13" s="1"/>
      <c r="S13" s="1"/>
      <c r="T13" s="1"/>
      <c r="U13" s="2"/>
      <c r="AO13" s="3"/>
    </row>
    <row r="14" spans="1:41" ht="9.9" customHeight="1">
      <c r="A14" s="226">
        <v>11</v>
      </c>
      <c r="B14" s="207" t="s">
        <v>13</v>
      </c>
      <c r="C14" s="208" t="s">
        <v>356</v>
      </c>
      <c r="D14" s="209" t="s">
        <v>359</v>
      </c>
      <c r="E14" s="225" t="s">
        <v>14</v>
      </c>
      <c r="F14" s="202">
        <v>18000</v>
      </c>
      <c r="G14" s="241"/>
      <c r="H14" s="242"/>
      <c r="I14" s="222">
        <v>4</v>
      </c>
      <c r="J14" s="223"/>
      <c r="K14" s="223"/>
      <c r="L14" s="223"/>
      <c r="M14" s="223"/>
      <c r="N14" s="224"/>
      <c r="O14" s="398"/>
      <c r="P14" s="9">
        <v>1</v>
      </c>
      <c r="Q14" s="1"/>
      <c r="R14" s="1"/>
      <c r="S14" s="1"/>
      <c r="T14" s="1"/>
      <c r="U14" s="2"/>
      <c r="AO14" s="3"/>
    </row>
    <row r="15" spans="1:41" s="25" customFormat="1">
      <c r="A15" s="226">
        <v>12</v>
      </c>
      <c r="B15" s="207" t="s">
        <v>16</v>
      </c>
      <c r="C15" s="208" t="s">
        <v>356</v>
      </c>
      <c r="D15" s="209" t="s">
        <v>359</v>
      </c>
      <c r="E15" s="225" t="s">
        <v>17</v>
      </c>
      <c r="F15" s="202">
        <v>1400000</v>
      </c>
      <c r="G15" s="241"/>
      <c r="H15" s="242"/>
      <c r="I15" s="29">
        <v>1</v>
      </c>
      <c r="J15" s="15"/>
      <c r="K15" s="15"/>
      <c r="L15" s="15"/>
      <c r="M15" s="15"/>
      <c r="N15" s="30"/>
      <c r="O15" s="398"/>
      <c r="P15" s="22"/>
      <c r="Q15" s="11">
        <v>1</v>
      </c>
      <c r="R15" s="11"/>
      <c r="S15" s="11"/>
      <c r="T15" s="11"/>
      <c r="U15" s="12"/>
      <c r="Z15" s="3"/>
    </row>
    <row r="16" spans="1:41" s="25" customFormat="1" ht="9.9" customHeight="1">
      <c r="A16" s="226">
        <v>13</v>
      </c>
      <c r="B16" s="207" t="s">
        <v>18</v>
      </c>
      <c r="C16" s="208" t="s">
        <v>361</v>
      </c>
      <c r="D16" s="209" t="s">
        <v>359</v>
      </c>
      <c r="E16" s="225" t="s">
        <v>19</v>
      </c>
      <c r="F16" s="202">
        <v>43027</v>
      </c>
      <c r="G16" s="202">
        <v>43027</v>
      </c>
      <c r="H16" s="242"/>
      <c r="I16" s="29"/>
      <c r="J16" s="15">
        <v>1</v>
      </c>
      <c r="K16" s="15"/>
      <c r="L16" s="15"/>
      <c r="M16" s="15"/>
      <c r="N16" s="30"/>
      <c r="O16" s="398"/>
      <c r="P16" s="22">
        <v>1</v>
      </c>
      <c r="Q16" s="11"/>
      <c r="R16" s="11"/>
      <c r="S16" s="11"/>
      <c r="T16" s="11"/>
      <c r="U16" s="12"/>
      <c r="Z16" s="3"/>
    </row>
    <row r="17" spans="1:26" s="26" customFormat="1" ht="9.75" customHeight="1">
      <c r="A17" s="226">
        <v>14</v>
      </c>
      <c r="B17" s="207" t="s">
        <v>362</v>
      </c>
      <c r="C17" s="208" t="s">
        <v>356</v>
      </c>
      <c r="D17" s="209" t="s">
        <v>359</v>
      </c>
      <c r="E17" s="225" t="s">
        <v>20</v>
      </c>
      <c r="F17" s="202">
        <v>184545.8</v>
      </c>
      <c r="G17" s="202">
        <v>184545.8</v>
      </c>
      <c r="H17" s="242"/>
      <c r="I17" s="29">
        <v>5</v>
      </c>
      <c r="J17" s="15"/>
      <c r="K17" s="15"/>
      <c r="L17" s="15"/>
      <c r="M17" s="15"/>
      <c r="N17" s="30"/>
      <c r="O17" s="398"/>
      <c r="P17" s="22">
        <v>1</v>
      </c>
      <c r="Q17" s="11"/>
      <c r="R17" s="11"/>
      <c r="S17" s="11"/>
      <c r="T17" s="11"/>
      <c r="U17" s="12"/>
      <c r="V17" s="25"/>
      <c r="W17" s="25"/>
      <c r="Z17" s="3"/>
    </row>
    <row r="18" spans="1:26" s="25" customFormat="1" ht="9.75" customHeight="1">
      <c r="A18" s="226">
        <v>15</v>
      </c>
      <c r="B18" s="207" t="s">
        <v>21</v>
      </c>
      <c r="C18" s="208" t="s">
        <v>358</v>
      </c>
      <c r="D18" s="209" t="s">
        <v>363</v>
      </c>
      <c r="E18" s="225" t="s">
        <v>364</v>
      </c>
      <c r="F18" s="202">
        <v>200</v>
      </c>
      <c r="G18" s="220">
        <v>200</v>
      </c>
      <c r="H18" s="221">
        <v>200</v>
      </c>
      <c r="I18" s="29">
        <v>5</v>
      </c>
      <c r="J18" s="15">
        <v>5</v>
      </c>
      <c r="K18" s="15"/>
      <c r="L18" s="15">
        <v>1</v>
      </c>
      <c r="M18" s="15">
        <v>5</v>
      </c>
      <c r="N18" s="30">
        <v>5</v>
      </c>
      <c r="O18" s="398"/>
      <c r="P18" s="22"/>
      <c r="Q18" s="11">
        <v>1</v>
      </c>
      <c r="R18" s="11"/>
      <c r="S18" s="11"/>
      <c r="T18" s="11"/>
      <c r="U18" s="12"/>
      <c r="Z18" s="3"/>
    </row>
    <row r="19" spans="1:26" s="25" customFormat="1" ht="9.75" customHeight="1">
      <c r="A19" s="226">
        <v>16</v>
      </c>
      <c r="B19" s="207" t="s">
        <v>22</v>
      </c>
      <c r="C19" s="208" t="s">
        <v>356</v>
      </c>
      <c r="D19" s="209" t="s">
        <v>359</v>
      </c>
      <c r="E19" s="225" t="s">
        <v>23</v>
      </c>
      <c r="F19" s="202">
        <v>40000</v>
      </c>
      <c r="G19" s="202">
        <v>40000</v>
      </c>
      <c r="H19" s="210">
        <v>40000</v>
      </c>
      <c r="I19" s="29">
        <v>1</v>
      </c>
      <c r="J19" s="15"/>
      <c r="K19" s="15"/>
      <c r="L19" s="15"/>
      <c r="M19" s="15"/>
      <c r="N19" s="30"/>
      <c r="O19" s="398"/>
      <c r="P19" s="22">
        <v>1</v>
      </c>
      <c r="Q19" s="11"/>
      <c r="R19" s="11"/>
      <c r="S19" s="11"/>
      <c r="T19" s="11"/>
      <c r="U19" s="12"/>
      <c r="Z19" s="3"/>
    </row>
    <row r="20" spans="1:26" s="25" customFormat="1" ht="9.9" customHeight="1">
      <c r="A20" s="226">
        <v>17</v>
      </c>
      <c r="B20" s="207" t="s">
        <v>24</v>
      </c>
      <c r="C20" s="208" t="s">
        <v>365</v>
      </c>
      <c r="D20" s="209" t="s">
        <v>366</v>
      </c>
      <c r="E20" s="225" t="s">
        <v>25</v>
      </c>
      <c r="F20" s="202">
        <v>20000</v>
      </c>
      <c r="G20" s="202">
        <v>20000</v>
      </c>
      <c r="H20" s="210">
        <v>20000</v>
      </c>
      <c r="I20" s="29">
        <v>4</v>
      </c>
      <c r="J20" s="15">
        <v>4</v>
      </c>
      <c r="K20" s="15"/>
      <c r="L20" s="15"/>
      <c r="M20" s="15">
        <v>4</v>
      </c>
      <c r="N20" s="30">
        <v>4</v>
      </c>
      <c r="O20" s="398"/>
      <c r="P20" s="22"/>
      <c r="Q20" s="11"/>
      <c r="R20" s="11">
        <v>1</v>
      </c>
      <c r="S20" s="11"/>
      <c r="T20" s="11"/>
      <c r="U20" s="12"/>
      <c r="Z20" s="3"/>
    </row>
    <row r="21" spans="1:26" s="25" customFormat="1" ht="9.9" customHeight="1">
      <c r="A21" s="226">
        <v>18</v>
      </c>
      <c r="B21" s="207" t="s">
        <v>27</v>
      </c>
      <c r="C21" s="208" t="s">
        <v>367</v>
      </c>
      <c r="D21" s="209" t="s">
        <v>368</v>
      </c>
      <c r="E21" s="225" t="s">
        <v>28</v>
      </c>
      <c r="F21" s="202">
        <v>800000</v>
      </c>
      <c r="G21" s="202">
        <v>1000000</v>
      </c>
      <c r="H21" s="210">
        <v>1000000</v>
      </c>
      <c r="I21" s="29">
        <v>1</v>
      </c>
      <c r="J21" s="15"/>
      <c r="K21" s="15"/>
      <c r="L21" s="15"/>
      <c r="M21" s="15"/>
      <c r="N21" s="30"/>
      <c r="O21" s="398"/>
      <c r="P21" s="22">
        <v>1</v>
      </c>
      <c r="Q21" s="11"/>
      <c r="R21" s="11"/>
      <c r="S21" s="11"/>
      <c r="T21" s="11"/>
      <c r="U21" s="12"/>
      <c r="Z21" s="3"/>
    </row>
    <row r="22" spans="1:26" s="25" customFormat="1" ht="9.9" customHeight="1">
      <c r="A22" s="226">
        <v>19</v>
      </c>
      <c r="B22" s="207" t="s">
        <v>29</v>
      </c>
      <c r="C22" s="208" t="s">
        <v>369</v>
      </c>
      <c r="D22" s="209" t="s">
        <v>368</v>
      </c>
      <c r="E22" s="225" t="s">
        <v>26</v>
      </c>
      <c r="F22" s="202">
        <v>30000</v>
      </c>
      <c r="G22" s="202">
        <v>50000</v>
      </c>
      <c r="H22" s="210">
        <v>50000</v>
      </c>
      <c r="I22" s="29"/>
      <c r="J22" s="15">
        <v>4</v>
      </c>
      <c r="K22" s="15"/>
      <c r="L22" s="15">
        <v>4</v>
      </c>
      <c r="M22" s="15">
        <v>4</v>
      </c>
      <c r="N22" s="30">
        <v>4</v>
      </c>
      <c r="O22" s="398"/>
      <c r="P22" s="22">
        <v>1</v>
      </c>
      <c r="Q22" s="11"/>
      <c r="R22" s="11"/>
      <c r="S22" s="11"/>
      <c r="T22" s="11"/>
      <c r="U22" s="12"/>
      <c r="Z22" s="3"/>
    </row>
    <row r="23" spans="1:26" s="25" customFormat="1" ht="9.9" customHeight="1">
      <c r="A23" s="226">
        <v>20</v>
      </c>
      <c r="B23" s="207" t="s">
        <v>30</v>
      </c>
      <c r="C23" s="208" t="s">
        <v>367</v>
      </c>
      <c r="D23" s="209" t="s">
        <v>368</v>
      </c>
      <c r="E23" s="225" t="s">
        <v>31</v>
      </c>
      <c r="F23" s="202">
        <v>660000</v>
      </c>
      <c r="G23" s="202">
        <v>660000</v>
      </c>
      <c r="H23" s="210">
        <v>660000</v>
      </c>
      <c r="I23" s="29">
        <v>1</v>
      </c>
      <c r="J23" s="15"/>
      <c r="K23" s="15"/>
      <c r="L23" s="15"/>
      <c r="M23" s="15"/>
      <c r="N23" s="30"/>
      <c r="O23" s="398"/>
      <c r="P23" s="22">
        <v>1</v>
      </c>
      <c r="Q23" s="11"/>
      <c r="R23" s="11"/>
      <c r="S23" s="11"/>
      <c r="T23" s="11"/>
      <c r="U23" s="12"/>
      <c r="Z23" s="3"/>
    </row>
    <row r="24" spans="1:26" s="25" customFormat="1" ht="9.9" customHeight="1">
      <c r="A24" s="226">
        <v>21</v>
      </c>
      <c r="B24" s="207" t="s">
        <v>32</v>
      </c>
      <c r="C24" s="208" t="s">
        <v>370</v>
      </c>
      <c r="D24" s="209" t="s">
        <v>371</v>
      </c>
      <c r="E24" s="225" t="s">
        <v>15</v>
      </c>
      <c r="F24" s="202">
        <v>220000</v>
      </c>
      <c r="G24" s="202">
        <v>220000</v>
      </c>
      <c r="H24" s="210">
        <v>220000</v>
      </c>
      <c r="I24" s="29">
        <v>1</v>
      </c>
      <c r="J24" s="15"/>
      <c r="K24" s="15"/>
      <c r="L24" s="15"/>
      <c r="M24" s="15"/>
      <c r="N24" s="30"/>
      <c r="O24" s="398"/>
      <c r="P24" s="22">
        <v>1</v>
      </c>
      <c r="Q24" s="11"/>
      <c r="R24" s="11"/>
      <c r="S24" s="11"/>
      <c r="T24" s="11"/>
      <c r="U24" s="12"/>
      <c r="Z24" s="3"/>
    </row>
    <row r="25" spans="1:26" s="25" customFormat="1" ht="9.9" customHeight="1">
      <c r="A25" s="226">
        <v>22</v>
      </c>
      <c r="B25" s="207" t="s">
        <v>33</v>
      </c>
      <c r="C25" s="208" t="s">
        <v>370</v>
      </c>
      <c r="D25" s="209" t="s">
        <v>371</v>
      </c>
      <c r="E25" s="225" t="s">
        <v>34</v>
      </c>
      <c r="F25" s="202">
        <v>200000</v>
      </c>
      <c r="G25" s="202">
        <v>200000</v>
      </c>
      <c r="H25" s="210">
        <v>200000</v>
      </c>
      <c r="I25" s="29">
        <v>1</v>
      </c>
      <c r="J25" s="15"/>
      <c r="K25" s="15"/>
      <c r="L25" s="15"/>
      <c r="M25" s="15"/>
      <c r="N25" s="30"/>
      <c r="O25" s="398"/>
      <c r="P25" s="22">
        <v>1</v>
      </c>
      <c r="Q25" s="11"/>
      <c r="R25" s="11"/>
      <c r="S25" s="11"/>
      <c r="T25" s="11"/>
      <c r="U25" s="12"/>
      <c r="Z25" s="3"/>
    </row>
    <row r="26" spans="1:26" s="25" customFormat="1" ht="9.9" customHeight="1">
      <c r="A26" s="226">
        <v>23</v>
      </c>
      <c r="B26" s="207" t="s">
        <v>35</v>
      </c>
      <c r="C26" s="208" t="s">
        <v>370</v>
      </c>
      <c r="D26" s="209" t="s">
        <v>371</v>
      </c>
      <c r="E26" s="225" t="s">
        <v>15</v>
      </c>
      <c r="F26" s="202">
        <v>1000000</v>
      </c>
      <c r="G26" s="202">
        <v>1200000</v>
      </c>
      <c r="H26" s="210">
        <v>1400000</v>
      </c>
      <c r="I26" s="29">
        <v>1</v>
      </c>
      <c r="J26" s="15"/>
      <c r="K26" s="15"/>
      <c r="L26" s="15"/>
      <c r="M26" s="15"/>
      <c r="N26" s="30"/>
      <c r="O26" s="398"/>
      <c r="P26" s="22">
        <v>1</v>
      </c>
      <c r="Q26" s="11"/>
      <c r="R26" s="11"/>
      <c r="S26" s="11"/>
      <c r="T26" s="11"/>
      <c r="U26" s="12"/>
      <c r="Z26" s="3"/>
    </row>
    <row r="27" spans="1:26" s="25" customFormat="1" ht="9.9" customHeight="1">
      <c r="A27" s="226">
        <v>24</v>
      </c>
      <c r="B27" s="207" t="s">
        <v>372</v>
      </c>
      <c r="C27" s="208" t="s">
        <v>382</v>
      </c>
      <c r="D27" s="209" t="s">
        <v>383</v>
      </c>
      <c r="E27" s="225" t="s">
        <v>25</v>
      </c>
      <c r="F27" s="202">
        <v>12987</v>
      </c>
      <c r="G27" s="220">
        <v>20000</v>
      </c>
      <c r="H27" s="221">
        <v>20000</v>
      </c>
      <c r="I27" s="29"/>
      <c r="J27" s="15">
        <v>1</v>
      </c>
      <c r="K27" s="15"/>
      <c r="L27" s="15">
        <v>1</v>
      </c>
      <c r="M27" s="15">
        <v>1</v>
      </c>
      <c r="N27" s="30">
        <v>1</v>
      </c>
      <c r="O27" s="398"/>
      <c r="P27" s="22"/>
      <c r="Q27" s="11"/>
      <c r="R27" s="11">
        <v>1</v>
      </c>
      <c r="S27" s="11"/>
      <c r="T27" s="11"/>
      <c r="U27" s="12"/>
      <c r="Z27" s="3"/>
    </row>
    <row r="28" spans="1:26" s="28" customFormat="1" ht="9.9" customHeight="1">
      <c r="A28" s="249">
        <v>25</v>
      </c>
      <c r="B28" s="250" t="s">
        <v>384</v>
      </c>
      <c r="C28" s="251" t="s">
        <v>385</v>
      </c>
      <c r="D28" s="251" t="s">
        <v>383</v>
      </c>
      <c r="E28" s="252" t="s">
        <v>386</v>
      </c>
      <c r="F28" s="253">
        <v>16666</v>
      </c>
      <c r="G28" s="254">
        <v>100000</v>
      </c>
      <c r="H28" s="255">
        <v>100000</v>
      </c>
      <c r="I28" s="285">
        <v>4</v>
      </c>
      <c r="J28" s="286">
        <v>4</v>
      </c>
      <c r="K28" s="286"/>
      <c r="L28" s="286"/>
      <c r="M28" s="286">
        <v>4</v>
      </c>
      <c r="N28" s="287"/>
      <c r="O28" s="398"/>
      <c r="P28" s="27"/>
      <c r="Q28" s="13"/>
      <c r="R28" s="15">
        <v>1</v>
      </c>
      <c r="S28" s="13"/>
      <c r="T28" s="13"/>
      <c r="U28" s="14"/>
      <c r="Z28" s="3"/>
    </row>
    <row r="29" spans="1:26" s="25" customFormat="1" ht="9.9" customHeight="1">
      <c r="A29" s="226">
        <v>26</v>
      </c>
      <c r="B29" s="207" t="s">
        <v>36</v>
      </c>
      <c r="C29" s="209" t="s">
        <v>373</v>
      </c>
      <c r="D29" s="209" t="s">
        <v>374</v>
      </c>
      <c r="E29" s="225" t="s">
        <v>5</v>
      </c>
      <c r="F29" s="202">
        <v>20000</v>
      </c>
      <c r="G29" s="220">
        <v>20000</v>
      </c>
      <c r="H29" s="242"/>
      <c r="I29" s="29"/>
      <c r="J29" s="15"/>
      <c r="K29" s="15">
        <v>1</v>
      </c>
      <c r="L29" s="15"/>
      <c r="M29" s="15"/>
      <c r="N29" s="30">
        <v>1</v>
      </c>
      <c r="O29" s="398"/>
      <c r="P29" s="22"/>
      <c r="Q29" s="11"/>
      <c r="R29" s="11"/>
      <c r="S29" s="11"/>
      <c r="T29" s="11">
        <v>1</v>
      </c>
      <c r="U29" s="12"/>
      <c r="Z29" s="3"/>
    </row>
    <row r="30" spans="1:26" s="25" customFormat="1" ht="9.9" customHeight="1">
      <c r="A30" s="226">
        <v>27</v>
      </c>
      <c r="B30" s="207" t="s">
        <v>37</v>
      </c>
      <c r="C30" s="208" t="s">
        <v>373</v>
      </c>
      <c r="D30" s="209" t="s">
        <v>375</v>
      </c>
      <c r="E30" s="225" t="s">
        <v>10</v>
      </c>
      <c r="F30" s="202">
        <v>60000</v>
      </c>
      <c r="G30" s="202">
        <v>60000</v>
      </c>
      <c r="H30" s="210">
        <v>60000</v>
      </c>
      <c r="I30" s="29"/>
      <c r="J30" s="15">
        <v>1</v>
      </c>
      <c r="K30" s="15"/>
      <c r="L30" s="15">
        <v>4</v>
      </c>
      <c r="M30" s="15">
        <v>1</v>
      </c>
      <c r="N30" s="30">
        <v>1</v>
      </c>
      <c r="O30" s="398"/>
      <c r="P30" s="22"/>
      <c r="Q30" s="11"/>
      <c r="R30" s="11"/>
      <c r="S30" s="11"/>
      <c r="T30" s="11">
        <v>1</v>
      </c>
      <c r="U30" s="12"/>
      <c r="Z30" s="3"/>
    </row>
    <row r="31" spans="1:26" s="25" customFormat="1" ht="9.9" customHeight="1">
      <c r="A31" s="226">
        <v>28</v>
      </c>
      <c r="B31" s="207" t="s">
        <v>38</v>
      </c>
      <c r="C31" s="209" t="s">
        <v>376</v>
      </c>
      <c r="D31" s="209" t="s">
        <v>377</v>
      </c>
      <c r="E31" s="225" t="s">
        <v>378</v>
      </c>
      <c r="F31" s="202">
        <v>30000</v>
      </c>
      <c r="G31" s="202">
        <v>70700</v>
      </c>
      <c r="H31" s="210">
        <v>70700</v>
      </c>
      <c r="I31" s="29">
        <v>4</v>
      </c>
      <c r="J31" s="15">
        <v>4</v>
      </c>
      <c r="K31" s="15"/>
      <c r="L31" s="15"/>
      <c r="M31" s="15"/>
      <c r="N31" s="30"/>
      <c r="O31" s="398"/>
      <c r="P31" s="22"/>
      <c r="Q31" s="11"/>
      <c r="R31" s="11">
        <v>1</v>
      </c>
      <c r="S31" s="11"/>
      <c r="T31" s="11"/>
      <c r="U31" s="12"/>
      <c r="Z31" s="3"/>
    </row>
    <row r="32" spans="1:26" s="26" customFormat="1" ht="9.9" customHeight="1">
      <c r="A32" s="226">
        <v>29</v>
      </c>
      <c r="B32" s="207" t="s">
        <v>39</v>
      </c>
      <c r="C32" s="209" t="s">
        <v>379</v>
      </c>
      <c r="D32" s="209" t="s">
        <v>380</v>
      </c>
      <c r="E32" s="235" t="s">
        <v>381</v>
      </c>
      <c r="F32" s="202">
        <v>100000</v>
      </c>
      <c r="G32" s="241"/>
      <c r="H32" s="242"/>
      <c r="I32" s="29"/>
      <c r="J32" s="15">
        <v>3</v>
      </c>
      <c r="K32" s="15"/>
      <c r="L32" s="15"/>
      <c r="M32" s="15">
        <v>3</v>
      </c>
      <c r="N32" s="30">
        <v>3</v>
      </c>
      <c r="O32" s="398"/>
      <c r="P32" s="204"/>
      <c r="Q32" s="15">
        <v>1</v>
      </c>
      <c r="R32" s="205"/>
      <c r="S32" s="205"/>
      <c r="T32" s="205"/>
      <c r="U32" s="206"/>
      <c r="Z32" s="3"/>
    </row>
    <row r="33" spans="1:26" s="25" customFormat="1" ht="9.9" customHeight="1">
      <c r="A33" s="226">
        <v>30</v>
      </c>
      <c r="B33" s="207" t="s">
        <v>40</v>
      </c>
      <c r="C33" s="208" t="s">
        <v>387</v>
      </c>
      <c r="D33" s="209" t="s">
        <v>374</v>
      </c>
      <c r="E33" s="225" t="s">
        <v>15</v>
      </c>
      <c r="F33" s="202">
        <v>1480000</v>
      </c>
      <c r="G33" s="202">
        <v>1480000</v>
      </c>
      <c r="H33" s="210">
        <v>1480000</v>
      </c>
      <c r="I33" s="29">
        <v>1</v>
      </c>
      <c r="J33" s="15"/>
      <c r="K33" s="15"/>
      <c r="L33" s="15"/>
      <c r="M33" s="15"/>
      <c r="N33" s="30"/>
      <c r="O33" s="398"/>
      <c r="P33" s="22">
        <v>1</v>
      </c>
      <c r="Q33" s="11"/>
      <c r="R33" s="11"/>
      <c r="S33" s="11"/>
      <c r="T33" s="11"/>
      <c r="U33" s="12"/>
      <c r="Z33" s="3"/>
    </row>
    <row r="34" spans="1:26" s="25" customFormat="1" ht="9.9" customHeight="1">
      <c r="A34" s="226">
        <v>31</v>
      </c>
      <c r="B34" s="207" t="s">
        <v>41</v>
      </c>
      <c r="C34" s="209" t="s">
        <v>388</v>
      </c>
      <c r="D34" s="209" t="s">
        <v>377</v>
      </c>
      <c r="E34" s="225" t="s">
        <v>378</v>
      </c>
      <c r="F34" s="202">
        <v>26000</v>
      </c>
      <c r="G34" s="220">
        <v>26000</v>
      </c>
      <c r="H34" s="221">
        <v>26000</v>
      </c>
      <c r="I34" s="29">
        <v>2</v>
      </c>
      <c r="J34" s="15">
        <v>2</v>
      </c>
      <c r="K34" s="15"/>
      <c r="L34" s="15"/>
      <c r="M34" s="15">
        <v>2</v>
      </c>
      <c r="N34" s="30"/>
      <c r="O34" s="398"/>
      <c r="P34" s="22"/>
      <c r="Q34" s="11"/>
      <c r="R34" s="11">
        <v>1</v>
      </c>
      <c r="S34" s="11"/>
      <c r="T34" s="11"/>
      <c r="U34" s="12"/>
      <c r="Z34" s="3"/>
    </row>
    <row r="35" spans="1:26" s="25" customFormat="1" ht="9.9" customHeight="1">
      <c r="A35" s="10">
        <v>32</v>
      </c>
      <c r="B35" s="207" t="s">
        <v>42</v>
      </c>
      <c r="C35" s="208" t="s">
        <v>237</v>
      </c>
      <c r="D35" s="209" t="s">
        <v>238</v>
      </c>
      <c r="E35" s="236" t="s">
        <v>43</v>
      </c>
      <c r="F35" s="202">
        <v>59115</v>
      </c>
      <c r="G35" s="202">
        <v>59115</v>
      </c>
      <c r="H35" s="243"/>
      <c r="I35" s="22"/>
      <c r="J35" s="11"/>
      <c r="K35" s="11"/>
      <c r="L35" s="11"/>
      <c r="M35" s="11">
        <v>2</v>
      </c>
      <c r="N35" s="23">
        <v>2</v>
      </c>
      <c r="O35" s="398"/>
      <c r="P35" s="22">
        <v>1</v>
      </c>
      <c r="Q35" s="11"/>
      <c r="R35" s="11"/>
      <c r="S35" s="11"/>
      <c r="T35" s="11"/>
      <c r="U35" s="12"/>
      <c r="Z35" s="3"/>
    </row>
    <row r="36" spans="1:26" s="25" customFormat="1" ht="9.9" customHeight="1">
      <c r="A36" s="10">
        <v>33</v>
      </c>
      <c r="B36" s="207" t="s">
        <v>44</v>
      </c>
      <c r="C36" s="208" t="s">
        <v>240</v>
      </c>
      <c r="D36" s="209" t="s">
        <v>239</v>
      </c>
      <c r="E36" s="236" t="s">
        <v>241</v>
      </c>
      <c r="F36" s="202">
        <v>1200</v>
      </c>
      <c r="G36" s="202">
        <v>1200</v>
      </c>
      <c r="H36" s="210">
        <v>1200</v>
      </c>
      <c r="I36" s="22">
        <v>4</v>
      </c>
      <c r="J36" s="11">
        <v>5</v>
      </c>
      <c r="K36" s="11"/>
      <c r="L36" s="11">
        <v>8</v>
      </c>
      <c r="M36" s="11">
        <v>5</v>
      </c>
      <c r="N36" s="23">
        <v>5</v>
      </c>
      <c r="O36" s="398"/>
      <c r="P36" s="22"/>
      <c r="Q36" s="11">
        <v>1</v>
      </c>
      <c r="R36" s="11"/>
      <c r="S36" s="11"/>
      <c r="T36" s="11"/>
      <c r="U36" s="12"/>
      <c r="Z36" s="3"/>
    </row>
    <row r="37" spans="1:26" s="25" customFormat="1" ht="9.9" customHeight="1">
      <c r="A37" s="10">
        <v>34</v>
      </c>
      <c r="B37" s="207" t="s">
        <v>45</v>
      </c>
      <c r="C37" s="208" t="s">
        <v>242</v>
      </c>
      <c r="D37" s="209" t="s">
        <v>243</v>
      </c>
      <c r="E37" s="236" t="s">
        <v>46</v>
      </c>
      <c r="F37" s="202">
        <v>78839</v>
      </c>
      <c r="G37" s="202">
        <v>78839</v>
      </c>
      <c r="H37" s="210">
        <v>78839</v>
      </c>
      <c r="I37" s="22"/>
      <c r="J37" s="11">
        <v>6</v>
      </c>
      <c r="K37" s="11"/>
      <c r="L37" s="11">
        <v>2</v>
      </c>
      <c r="M37" s="11">
        <v>6</v>
      </c>
      <c r="N37" s="23">
        <v>6</v>
      </c>
      <c r="O37" s="398"/>
      <c r="P37" s="22">
        <v>1</v>
      </c>
      <c r="Q37" s="11"/>
      <c r="R37" s="11"/>
      <c r="S37" s="11"/>
      <c r="T37" s="11"/>
      <c r="U37" s="12"/>
      <c r="Z37" s="3"/>
    </row>
    <row r="38" spans="1:26" s="25" customFormat="1" ht="9.9" customHeight="1">
      <c r="A38" s="10">
        <v>35</v>
      </c>
      <c r="B38" s="207" t="s">
        <v>47</v>
      </c>
      <c r="C38" s="208" t="s">
        <v>244</v>
      </c>
      <c r="D38" s="209" t="s">
        <v>245</v>
      </c>
      <c r="E38" s="236" t="s">
        <v>48</v>
      </c>
      <c r="F38" s="202">
        <v>32120</v>
      </c>
      <c r="G38" s="159">
        <v>30000</v>
      </c>
      <c r="H38" s="160">
        <v>30000</v>
      </c>
      <c r="I38" s="22">
        <v>4</v>
      </c>
      <c r="J38" s="11">
        <v>4</v>
      </c>
      <c r="K38" s="11"/>
      <c r="L38" s="11"/>
      <c r="M38" s="11">
        <v>4</v>
      </c>
      <c r="N38" s="23">
        <v>4</v>
      </c>
      <c r="O38" s="398"/>
      <c r="P38" s="22"/>
      <c r="Q38" s="11"/>
      <c r="R38" s="11">
        <v>1</v>
      </c>
      <c r="S38" s="11"/>
      <c r="T38" s="11"/>
      <c r="U38" s="12"/>
      <c r="Z38" s="3"/>
    </row>
    <row r="39" spans="1:26" s="25" customFormat="1" ht="9.9" customHeight="1">
      <c r="A39" s="10">
        <v>36</v>
      </c>
      <c r="B39" s="207" t="s">
        <v>246</v>
      </c>
      <c r="C39" s="209" t="s">
        <v>337</v>
      </c>
      <c r="D39" s="209" t="s">
        <v>245</v>
      </c>
      <c r="E39" s="236" t="s">
        <v>247</v>
      </c>
      <c r="F39" s="202">
        <v>156827</v>
      </c>
      <c r="G39" s="159">
        <v>150000</v>
      </c>
      <c r="H39" s="160">
        <v>150000</v>
      </c>
      <c r="I39" s="22">
        <v>4</v>
      </c>
      <c r="J39" s="11">
        <v>5</v>
      </c>
      <c r="K39" s="11"/>
      <c r="L39" s="11"/>
      <c r="M39" s="11">
        <v>4</v>
      </c>
      <c r="N39" s="23"/>
      <c r="O39" s="398"/>
      <c r="P39" s="22"/>
      <c r="Q39" s="11"/>
      <c r="R39" s="11">
        <v>1</v>
      </c>
      <c r="S39" s="11"/>
      <c r="T39" s="11"/>
      <c r="U39" s="12"/>
      <c r="Z39" s="3"/>
    </row>
    <row r="40" spans="1:26" s="25" customFormat="1" ht="9.9" customHeight="1">
      <c r="A40" s="10">
        <v>37</v>
      </c>
      <c r="B40" s="207" t="s">
        <v>49</v>
      </c>
      <c r="C40" s="208" t="s">
        <v>248</v>
      </c>
      <c r="D40" s="209" t="s">
        <v>249</v>
      </c>
      <c r="E40" s="236" t="s">
        <v>10</v>
      </c>
      <c r="F40" s="237">
        <v>39605</v>
      </c>
      <c r="G40" s="237">
        <v>39605</v>
      </c>
      <c r="H40" s="238">
        <v>39605</v>
      </c>
      <c r="I40" s="22">
        <v>2</v>
      </c>
      <c r="J40" s="11">
        <v>2</v>
      </c>
      <c r="K40" s="11"/>
      <c r="L40" s="11"/>
      <c r="M40" s="11">
        <v>2</v>
      </c>
      <c r="N40" s="23">
        <v>2</v>
      </c>
      <c r="O40" s="398"/>
      <c r="P40" s="22"/>
      <c r="Q40" s="11"/>
      <c r="R40" s="11"/>
      <c r="S40" s="11"/>
      <c r="T40" s="11">
        <v>1</v>
      </c>
      <c r="U40" s="12"/>
      <c r="Z40" s="3"/>
    </row>
    <row r="41" spans="1:26" s="25" customFormat="1" ht="9.9" customHeight="1">
      <c r="A41" s="10">
        <v>38</v>
      </c>
      <c r="B41" s="207" t="s">
        <v>250</v>
      </c>
      <c r="C41" s="208" t="s">
        <v>248</v>
      </c>
      <c r="D41" s="209" t="s">
        <v>249</v>
      </c>
      <c r="E41" s="236" t="s">
        <v>10</v>
      </c>
      <c r="F41" s="202">
        <v>11248</v>
      </c>
      <c r="G41" s="202">
        <v>11248</v>
      </c>
      <c r="H41" s="210">
        <v>11248</v>
      </c>
      <c r="I41" s="22">
        <v>2</v>
      </c>
      <c r="J41" s="11">
        <v>2</v>
      </c>
      <c r="K41" s="11"/>
      <c r="L41" s="11"/>
      <c r="M41" s="11">
        <v>2</v>
      </c>
      <c r="N41" s="23">
        <v>2</v>
      </c>
      <c r="O41" s="398"/>
      <c r="P41" s="22"/>
      <c r="Q41" s="11"/>
      <c r="R41" s="11"/>
      <c r="S41" s="11"/>
      <c r="T41" s="11">
        <v>1</v>
      </c>
      <c r="U41" s="12"/>
      <c r="Z41" s="3"/>
    </row>
    <row r="42" spans="1:26" s="25" customFormat="1" ht="9.9" customHeight="1">
      <c r="A42" s="10">
        <v>39</v>
      </c>
      <c r="B42" s="207">
        <v>118</v>
      </c>
      <c r="C42" s="209" t="s">
        <v>248</v>
      </c>
      <c r="D42" s="209" t="s">
        <v>251</v>
      </c>
      <c r="E42" s="236" t="s">
        <v>50</v>
      </c>
      <c r="F42" s="202">
        <v>16802</v>
      </c>
      <c r="G42" s="159">
        <v>16000</v>
      </c>
      <c r="H42" s="160">
        <v>16000</v>
      </c>
      <c r="I42" s="22">
        <v>2</v>
      </c>
      <c r="J42" s="11">
        <v>2</v>
      </c>
      <c r="K42" s="11"/>
      <c r="L42" s="11"/>
      <c r="M42" s="11">
        <v>2</v>
      </c>
      <c r="N42" s="23">
        <v>2</v>
      </c>
      <c r="O42" s="398"/>
      <c r="P42" s="22">
        <v>1</v>
      </c>
      <c r="Q42" s="11"/>
      <c r="R42" s="11"/>
      <c r="S42" s="11"/>
      <c r="T42" s="11"/>
      <c r="U42" s="12"/>
      <c r="Z42" s="3"/>
    </row>
    <row r="43" spans="1:26" s="25" customFormat="1" ht="9.9" customHeight="1">
      <c r="A43" s="10">
        <v>40</v>
      </c>
      <c r="B43" s="207">
        <v>423</v>
      </c>
      <c r="C43" s="209" t="s">
        <v>248</v>
      </c>
      <c r="D43" s="209" t="s">
        <v>251</v>
      </c>
      <c r="E43" s="236" t="s">
        <v>50</v>
      </c>
      <c r="F43" s="202">
        <v>70311</v>
      </c>
      <c r="G43" s="159">
        <v>70000</v>
      </c>
      <c r="H43" s="160">
        <v>70000</v>
      </c>
      <c r="I43" s="22">
        <v>2</v>
      </c>
      <c r="J43" s="11">
        <v>2</v>
      </c>
      <c r="K43" s="11"/>
      <c r="L43" s="11"/>
      <c r="M43" s="11">
        <v>2</v>
      </c>
      <c r="N43" s="23">
        <v>2</v>
      </c>
      <c r="O43" s="398"/>
      <c r="P43" s="22">
        <v>1</v>
      </c>
      <c r="Q43" s="11"/>
      <c r="R43" s="11"/>
      <c r="S43" s="11"/>
      <c r="T43" s="11"/>
      <c r="U43" s="12"/>
      <c r="Z43" s="3"/>
    </row>
    <row r="44" spans="1:26" s="25" customFormat="1" ht="9.9" customHeight="1">
      <c r="A44" s="10">
        <v>41</v>
      </c>
      <c r="B44" s="207" t="s">
        <v>51</v>
      </c>
      <c r="C44" s="209" t="s">
        <v>165</v>
      </c>
      <c r="D44" s="209" t="s">
        <v>252</v>
      </c>
      <c r="E44" s="236" t="s">
        <v>52</v>
      </c>
      <c r="F44" s="202">
        <v>20000</v>
      </c>
      <c r="G44" s="202">
        <v>20000</v>
      </c>
      <c r="H44" s="210">
        <v>20000</v>
      </c>
      <c r="I44" s="22">
        <v>4</v>
      </c>
      <c r="J44" s="11">
        <v>4</v>
      </c>
      <c r="K44" s="11"/>
      <c r="L44" s="11"/>
      <c r="M44" s="11"/>
      <c r="N44" s="23"/>
      <c r="O44" s="398"/>
      <c r="P44" s="22"/>
      <c r="Q44" s="11">
        <v>1</v>
      </c>
      <c r="R44" s="11"/>
      <c r="S44" s="11"/>
      <c r="T44" s="11"/>
      <c r="U44" s="12"/>
      <c r="Z44" s="3"/>
    </row>
    <row r="45" spans="1:26" s="25" customFormat="1" ht="9.9" customHeight="1">
      <c r="A45" s="10">
        <v>42</v>
      </c>
      <c r="B45" s="207" t="s">
        <v>53</v>
      </c>
      <c r="C45" s="209" t="s">
        <v>338</v>
      </c>
      <c r="D45" s="209" t="s">
        <v>249</v>
      </c>
      <c r="E45" s="236" t="s">
        <v>7</v>
      </c>
      <c r="F45" s="202">
        <v>20000</v>
      </c>
      <c r="G45" s="159">
        <v>20000</v>
      </c>
      <c r="H45" s="160">
        <v>20000</v>
      </c>
      <c r="I45" s="22"/>
      <c r="J45" s="11">
        <v>1</v>
      </c>
      <c r="K45" s="11"/>
      <c r="L45" s="11"/>
      <c r="M45" s="11"/>
      <c r="N45" s="23"/>
      <c r="O45" s="398"/>
      <c r="P45" s="22"/>
      <c r="Q45" s="11"/>
      <c r="R45" s="11"/>
      <c r="S45" s="11"/>
      <c r="T45" s="11">
        <v>1</v>
      </c>
      <c r="U45" s="12"/>
      <c r="Z45" s="3"/>
    </row>
    <row r="46" spans="1:26" s="25" customFormat="1" ht="9.9" customHeight="1">
      <c r="A46" s="10">
        <v>43</v>
      </c>
      <c r="B46" s="207" t="s">
        <v>54</v>
      </c>
      <c r="C46" s="208" t="s">
        <v>254</v>
      </c>
      <c r="D46" s="209" t="s">
        <v>249</v>
      </c>
      <c r="E46" s="236" t="s">
        <v>7</v>
      </c>
      <c r="F46" s="202">
        <v>25000</v>
      </c>
      <c r="G46" s="159">
        <v>99167</v>
      </c>
      <c r="H46" s="160">
        <v>190000</v>
      </c>
      <c r="I46" s="22">
        <v>2</v>
      </c>
      <c r="J46" s="11">
        <v>3</v>
      </c>
      <c r="K46" s="11"/>
      <c r="L46" s="11">
        <v>2</v>
      </c>
      <c r="M46" s="11">
        <v>3</v>
      </c>
      <c r="N46" s="23"/>
      <c r="O46" s="398"/>
      <c r="P46" s="22"/>
      <c r="Q46" s="11"/>
      <c r="R46" s="11"/>
      <c r="S46" s="11"/>
      <c r="T46" s="11">
        <v>1</v>
      </c>
      <c r="U46" s="12"/>
      <c r="Z46" s="3"/>
    </row>
    <row r="47" spans="1:26" s="25" customFormat="1" ht="11.25" customHeight="1">
      <c r="A47" s="264">
        <v>44</v>
      </c>
      <c r="B47" s="265" t="s">
        <v>255</v>
      </c>
      <c r="C47" s="266" t="s">
        <v>254</v>
      </c>
      <c r="D47" s="267" t="s">
        <v>256</v>
      </c>
      <c r="E47" s="268" t="s">
        <v>257</v>
      </c>
      <c r="F47" s="269">
        <v>22400</v>
      </c>
      <c r="G47" s="270">
        <v>167000</v>
      </c>
      <c r="H47" s="271">
        <v>171000</v>
      </c>
      <c r="I47" s="272">
        <v>2</v>
      </c>
      <c r="J47" s="273">
        <v>3</v>
      </c>
      <c r="K47" s="273"/>
      <c r="L47" s="273">
        <v>5</v>
      </c>
      <c r="M47" s="273">
        <v>3</v>
      </c>
      <c r="N47" s="274">
        <v>3</v>
      </c>
      <c r="O47" s="398"/>
      <c r="P47" s="22"/>
      <c r="Q47" s="11"/>
      <c r="R47" s="11">
        <v>1</v>
      </c>
      <c r="S47" s="11"/>
      <c r="T47" s="11"/>
      <c r="U47" s="12"/>
      <c r="Z47" s="3"/>
    </row>
    <row r="48" spans="1:26" s="25" customFormat="1" ht="9.9" customHeight="1">
      <c r="A48" s="10">
        <v>45</v>
      </c>
      <c r="B48" s="207" t="s">
        <v>258</v>
      </c>
      <c r="C48" s="208" t="s">
        <v>253</v>
      </c>
      <c r="D48" s="209" t="s">
        <v>251</v>
      </c>
      <c r="E48" s="236" t="s">
        <v>46</v>
      </c>
      <c r="F48" s="202">
        <v>16046</v>
      </c>
      <c r="G48" s="159">
        <v>20000</v>
      </c>
      <c r="H48" s="160">
        <v>20000</v>
      </c>
      <c r="I48" s="22"/>
      <c r="J48" s="11">
        <v>2</v>
      </c>
      <c r="K48" s="11"/>
      <c r="L48" s="11">
        <v>4</v>
      </c>
      <c r="M48" s="11">
        <v>2</v>
      </c>
      <c r="N48" s="23">
        <v>2</v>
      </c>
      <c r="O48" s="398"/>
      <c r="P48" s="22">
        <v>1</v>
      </c>
      <c r="Q48" s="11"/>
      <c r="R48" s="11"/>
      <c r="S48" s="11"/>
      <c r="T48" s="11"/>
      <c r="U48" s="12"/>
      <c r="Z48" s="3"/>
    </row>
    <row r="49" spans="1:26" s="25" customFormat="1" ht="9.9" customHeight="1">
      <c r="A49" s="10">
        <v>46</v>
      </c>
      <c r="B49" s="207" t="s">
        <v>56</v>
      </c>
      <c r="C49" s="208" t="s">
        <v>254</v>
      </c>
      <c r="D49" s="209" t="s">
        <v>256</v>
      </c>
      <c r="E49" s="236" t="s">
        <v>46</v>
      </c>
      <c r="F49" s="246"/>
      <c r="G49" s="159">
        <v>50000</v>
      </c>
      <c r="H49" s="160">
        <v>50000</v>
      </c>
      <c r="I49" s="22">
        <v>4</v>
      </c>
      <c r="J49" s="11">
        <v>5</v>
      </c>
      <c r="K49" s="11"/>
      <c r="L49" s="11">
        <v>3</v>
      </c>
      <c r="M49" s="11">
        <v>5</v>
      </c>
      <c r="N49" s="23">
        <v>5</v>
      </c>
      <c r="O49" s="398"/>
      <c r="P49" s="22"/>
      <c r="Q49" s="11"/>
      <c r="R49" s="11">
        <v>1</v>
      </c>
      <c r="S49" s="11"/>
      <c r="T49" s="11"/>
      <c r="U49" s="12"/>
      <c r="Z49" s="3"/>
    </row>
    <row r="50" spans="1:26" s="25" customFormat="1" ht="9.9" customHeight="1">
      <c r="A50" s="10">
        <v>47</v>
      </c>
      <c r="B50" s="207" t="s">
        <v>57</v>
      </c>
      <c r="C50" s="209" t="s">
        <v>248</v>
      </c>
      <c r="D50" s="209" t="s">
        <v>251</v>
      </c>
      <c r="E50" s="236" t="s">
        <v>50</v>
      </c>
      <c r="F50" s="202">
        <v>2225</v>
      </c>
      <c r="G50" s="159">
        <v>2000</v>
      </c>
      <c r="H50" s="244"/>
      <c r="I50" s="22">
        <v>2</v>
      </c>
      <c r="J50" s="11"/>
      <c r="K50" s="11">
        <v>2</v>
      </c>
      <c r="L50" s="11"/>
      <c r="M50" s="11"/>
      <c r="N50" s="23">
        <v>2</v>
      </c>
      <c r="O50" s="398"/>
      <c r="P50" s="22">
        <v>1</v>
      </c>
      <c r="Q50" s="11"/>
      <c r="R50" s="11"/>
      <c r="S50" s="11"/>
      <c r="T50" s="11"/>
      <c r="U50" s="12"/>
      <c r="Z50" s="3"/>
    </row>
    <row r="51" spans="1:26" s="25" customFormat="1" ht="9.9" customHeight="1">
      <c r="A51" s="10">
        <v>48</v>
      </c>
      <c r="B51" s="207" t="s">
        <v>58</v>
      </c>
      <c r="C51" s="209" t="s">
        <v>253</v>
      </c>
      <c r="D51" s="209" t="s">
        <v>251</v>
      </c>
      <c r="E51" s="225" t="s">
        <v>59</v>
      </c>
      <c r="F51" s="202">
        <v>50000</v>
      </c>
      <c r="G51" s="220">
        <v>86500</v>
      </c>
      <c r="H51" s="221">
        <v>86500</v>
      </c>
      <c r="I51" s="29"/>
      <c r="J51" s="15">
        <v>1</v>
      </c>
      <c r="K51" s="15"/>
      <c r="L51" s="15">
        <v>4</v>
      </c>
      <c r="M51" s="15">
        <v>1</v>
      </c>
      <c r="N51" s="30">
        <v>1</v>
      </c>
      <c r="O51" s="398"/>
      <c r="P51" s="29">
        <v>1</v>
      </c>
      <c r="Q51" s="15"/>
      <c r="R51" s="15"/>
      <c r="S51" s="15"/>
      <c r="T51" s="11"/>
      <c r="U51" s="12"/>
      <c r="Z51" s="3"/>
    </row>
    <row r="52" spans="1:26" s="31" customFormat="1" ht="9.9" customHeight="1">
      <c r="A52" s="10">
        <v>49</v>
      </c>
      <c r="B52" s="207" t="s">
        <v>259</v>
      </c>
      <c r="C52" s="208" t="s">
        <v>253</v>
      </c>
      <c r="D52" s="209" t="s">
        <v>260</v>
      </c>
      <c r="E52" s="225" t="s">
        <v>261</v>
      </c>
      <c r="F52" s="202">
        <v>26700</v>
      </c>
      <c r="G52" s="159">
        <v>41550</v>
      </c>
      <c r="H52" s="160">
        <v>40800</v>
      </c>
      <c r="I52" s="29"/>
      <c r="J52" s="15">
        <v>1</v>
      </c>
      <c r="K52" s="15"/>
      <c r="L52" s="15">
        <v>1</v>
      </c>
      <c r="M52" s="15">
        <v>1</v>
      </c>
      <c r="N52" s="30">
        <v>1</v>
      </c>
      <c r="O52" s="398"/>
      <c r="P52" s="29"/>
      <c r="Q52" s="15"/>
      <c r="R52" s="15"/>
      <c r="S52" s="15">
        <v>1</v>
      </c>
      <c r="T52" s="13"/>
      <c r="U52" s="14"/>
      <c r="V52" s="28"/>
      <c r="W52" s="28"/>
      <c r="Z52" s="3"/>
    </row>
    <row r="53" spans="1:26" s="25" customFormat="1" ht="9.9" customHeight="1">
      <c r="A53" s="10">
        <v>50</v>
      </c>
      <c r="B53" s="207" t="s">
        <v>60</v>
      </c>
      <c r="C53" s="208" t="s">
        <v>248</v>
      </c>
      <c r="D53" s="209" t="s">
        <v>249</v>
      </c>
      <c r="E53" s="236" t="s">
        <v>10</v>
      </c>
      <c r="F53" s="202">
        <v>2591</v>
      </c>
      <c r="G53" s="159">
        <v>50000</v>
      </c>
      <c r="H53" s="160">
        <v>50000</v>
      </c>
      <c r="I53" s="22">
        <v>2</v>
      </c>
      <c r="J53" s="11">
        <v>2</v>
      </c>
      <c r="K53" s="11"/>
      <c r="L53" s="11">
        <v>1</v>
      </c>
      <c r="M53" s="11">
        <v>2</v>
      </c>
      <c r="N53" s="23">
        <v>2</v>
      </c>
      <c r="O53" s="398"/>
      <c r="P53" s="22"/>
      <c r="Q53" s="11"/>
      <c r="R53" s="11"/>
      <c r="S53" s="11"/>
      <c r="T53" s="11">
        <v>1</v>
      </c>
      <c r="U53" s="12"/>
      <c r="Z53" s="3"/>
    </row>
    <row r="54" spans="1:26" s="25" customFormat="1" ht="9.9" customHeight="1">
      <c r="A54" s="264">
        <v>51</v>
      </c>
      <c r="B54" s="265" t="s">
        <v>61</v>
      </c>
      <c r="C54" s="266" t="s">
        <v>248</v>
      </c>
      <c r="D54" s="267" t="s">
        <v>251</v>
      </c>
      <c r="E54" s="268" t="s">
        <v>62</v>
      </c>
      <c r="F54" s="269">
        <v>60000</v>
      </c>
      <c r="G54" s="270">
        <v>80000</v>
      </c>
      <c r="H54" s="271">
        <f>350*300</f>
        <v>105000</v>
      </c>
      <c r="I54" s="272">
        <v>5</v>
      </c>
      <c r="J54" s="273">
        <v>5</v>
      </c>
      <c r="K54" s="273"/>
      <c r="L54" s="273">
        <v>4</v>
      </c>
      <c r="M54" s="273">
        <v>5</v>
      </c>
      <c r="N54" s="274">
        <v>5</v>
      </c>
      <c r="O54" s="398"/>
      <c r="P54" s="22">
        <v>1</v>
      </c>
      <c r="Q54" s="11"/>
      <c r="R54" s="11"/>
      <c r="S54" s="11"/>
      <c r="T54" s="11"/>
      <c r="U54" s="12"/>
      <c r="Z54" s="3"/>
    </row>
    <row r="55" spans="1:26" s="25" customFormat="1" ht="9.9" customHeight="1">
      <c r="A55" s="10">
        <v>52</v>
      </c>
      <c r="B55" s="207" t="s">
        <v>63</v>
      </c>
      <c r="C55" s="208" t="s">
        <v>254</v>
      </c>
      <c r="D55" s="209" t="s">
        <v>252</v>
      </c>
      <c r="E55" s="236" t="s">
        <v>257</v>
      </c>
      <c r="F55" s="202">
        <v>17449</v>
      </c>
      <c r="G55" s="245"/>
      <c r="H55" s="244"/>
      <c r="I55" s="22">
        <v>5</v>
      </c>
      <c r="J55" s="11">
        <v>5</v>
      </c>
      <c r="K55" s="11"/>
      <c r="L55" s="11">
        <v>6</v>
      </c>
      <c r="M55" s="11">
        <v>5</v>
      </c>
      <c r="N55" s="23">
        <v>5</v>
      </c>
      <c r="O55" s="398"/>
      <c r="P55" s="22"/>
      <c r="Q55" s="11">
        <v>1</v>
      </c>
      <c r="R55" s="11"/>
      <c r="S55" s="11"/>
      <c r="T55" s="11"/>
      <c r="U55" s="12"/>
      <c r="Z55" s="3"/>
    </row>
    <row r="56" spans="1:26" s="25" customFormat="1" ht="9.9" customHeight="1">
      <c r="A56" s="10">
        <v>53</v>
      </c>
      <c r="B56" s="207" t="s">
        <v>262</v>
      </c>
      <c r="C56" s="208" t="s">
        <v>263</v>
      </c>
      <c r="D56" s="209" t="s">
        <v>251</v>
      </c>
      <c r="E56" s="236" t="s">
        <v>64</v>
      </c>
      <c r="F56" s="202">
        <v>300000</v>
      </c>
      <c r="G56" s="202">
        <v>300000</v>
      </c>
      <c r="H56" s="210">
        <v>300000</v>
      </c>
      <c r="I56" s="22">
        <v>1</v>
      </c>
      <c r="J56" s="11"/>
      <c r="K56" s="11"/>
      <c r="L56" s="11"/>
      <c r="M56" s="11"/>
      <c r="N56" s="23"/>
      <c r="O56" s="398"/>
      <c r="P56" s="22">
        <v>1</v>
      </c>
      <c r="Q56" s="11"/>
      <c r="R56" s="11"/>
      <c r="S56" s="11"/>
      <c r="T56" s="11"/>
      <c r="U56" s="12"/>
      <c r="Z56" s="3"/>
    </row>
    <row r="57" spans="1:26" s="25" customFormat="1" ht="9.9" customHeight="1">
      <c r="A57" s="10">
        <v>54</v>
      </c>
      <c r="B57" s="207" t="s">
        <v>264</v>
      </c>
      <c r="C57" s="209" t="s">
        <v>165</v>
      </c>
      <c r="D57" s="209" t="s">
        <v>249</v>
      </c>
      <c r="E57" s="236" t="s">
        <v>7</v>
      </c>
      <c r="F57" s="202">
        <v>18909</v>
      </c>
      <c r="G57" s="159">
        <v>20000</v>
      </c>
      <c r="H57" s="160">
        <v>20000</v>
      </c>
      <c r="I57" s="22"/>
      <c r="J57" s="11">
        <v>4</v>
      </c>
      <c r="K57" s="11"/>
      <c r="L57" s="11"/>
      <c r="M57" s="11"/>
      <c r="N57" s="23"/>
      <c r="O57" s="398"/>
      <c r="P57" s="22"/>
      <c r="Q57" s="11"/>
      <c r="R57" s="11"/>
      <c r="S57" s="11"/>
      <c r="T57" s="11">
        <v>1</v>
      </c>
      <c r="U57" s="12"/>
      <c r="Z57" s="3"/>
    </row>
    <row r="58" spans="1:26" s="25" customFormat="1" ht="9.9" customHeight="1">
      <c r="A58" s="10">
        <v>55</v>
      </c>
      <c r="B58" s="207" t="s">
        <v>265</v>
      </c>
      <c r="C58" s="208" t="s">
        <v>248</v>
      </c>
      <c r="D58" s="209" t="s">
        <v>251</v>
      </c>
      <c r="E58" s="236" t="s">
        <v>65</v>
      </c>
      <c r="F58" s="202">
        <v>120000</v>
      </c>
      <c r="G58" s="159">
        <v>148000</v>
      </c>
      <c r="H58" s="160">
        <v>80000</v>
      </c>
      <c r="I58" s="22">
        <v>3</v>
      </c>
      <c r="J58" s="11">
        <v>2</v>
      </c>
      <c r="K58" s="11">
        <v>3</v>
      </c>
      <c r="L58" s="11"/>
      <c r="M58" s="11"/>
      <c r="N58" s="23">
        <v>3</v>
      </c>
      <c r="O58" s="398"/>
      <c r="P58" s="22">
        <v>1</v>
      </c>
      <c r="Q58" s="11"/>
      <c r="R58" s="11"/>
      <c r="S58" s="11"/>
      <c r="T58" s="11"/>
      <c r="U58" s="12"/>
      <c r="W58" s="200"/>
      <c r="Z58" s="3"/>
    </row>
    <row r="59" spans="1:26" s="25" customFormat="1" ht="9.75" customHeight="1">
      <c r="A59" s="10">
        <v>56</v>
      </c>
      <c r="B59" s="207" t="s">
        <v>66</v>
      </c>
      <c r="C59" s="208" t="s">
        <v>266</v>
      </c>
      <c r="D59" s="209" t="s">
        <v>267</v>
      </c>
      <c r="E59" s="236" t="s">
        <v>67</v>
      </c>
      <c r="F59" s="202">
        <v>399538</v>
      </c>
      <c r="G59" s="245"/>
      <c r="H59" s="244"/>
      <c r="I59" s="22">
        <v>1</v>
      </c>
      <c r="J59" s="11"/>
      <c r="K59" s="11"/>
      <c r="L59" s="11"/>
      <c r="M59" s="11"/>
      <c r="N59" s="23"/>
      <c r="O59" s="398"/>
      <c r="P59" s="22">
        <v>1</v>
      </c>
      <c r="Q59" s="11"/>
      <c r="R59" s="11"/>
      <c r="S59" s="11"/>
      <c r="T59" s="11"/>
      <c r="U59" s="12"/>
      <c r="Z59" s="3"/>
    </row>
    <row r="60" spans="1:26" s="25" customFormat="1" ht="9.9" customHeight="1">
      <c r="A60" s="10">
        <v>57</v>
      </c>
      <c r="B60" s="207" t="s">
        <v>68</v>
      </c>
      <c r="C60" s="209" t="s">
        <v>268</v>
      </c>
      <c r="D60" s="209" t="s">
        <v>267</v>
      </c>
      <c r="E60" s="236" t="s">
        <v>59</v>
      </c>
      <c r="F60" s="202">
        <v>20000</v>
      </c>
      <c r="G60" s="159">
        <v>20000</v>
      </c>
      <c r="H60" s="160">
        <v>20000</v>
      </c>
      <c r="I60" s="22"/>
      <c r="J60" s="11">
        <v>1</v>
      </c>
      <c r="K60" s="11"/>
      <c r="L60" s="11">
        <v>4</v>
      </c>
      <c r="M60" s="11">
        <v>1</v>
      </c>
      <c r="N60" s="23">
        <v>1</v>
      </c>
      <c r="O60" s="398"/>
      <c r="P60" s="22">
        <v>1</v>
      </c>
      <c r="Q60" s="11"/>
      <c r="R60" s="11"/>
      <c r="S60" s="11"/>
      <c r="T60" s="11"/>
      <c r="U60" s="12"/>
      <c r="Z60" s="3"/>
    </row>
    <row r="61" spans="1:26" s="25" customFormat="1" ht="9.9" customHeight="1">
      <c r="A61" s="10">
        <v>58</v>
      </c>
      <c r="B61" s="207" t="s">
        <v>69</v>
      </c>
      <c r="C61" s="208" t="s">
        <v>268</v>
      </c>
      <c r="D61" s="209" t="s">
        <v>267</v>
      </c>
      <c r="E61" s="236" t="s">
        <v>46</v>
      </c>
      <c r="F61" s="202">
        <v>30000</v>
      </c>
      <c r="G61" s="159">
        <v>60000</v>
      </c>
      <c r="H61" s="160">
        <v>60000</v>
      </c>
      <c r="I61" s="22"/>
      <c r="J61" s="11">
        <v>1</v>
      </c>
      <c r="K61" s="11"/>
      <c r="L61" s="11">
        <v>3</v>
      </c>
      <c r="M61" s="11">
        <v>1</v>
      </c>
      <c r="N61" s="23">
        <v>1</v>
      </c>
      <c r="O61" s="398"/>
      <c r="P61" s="22">
        <v>1</v>
      </c>
      <c r="Q61" s="11"/>
      <c r="R61" s="11"/>
      <c r="S61" s="11"/>
      <c r="T61" s="11"/>
      <c r="U61" s="12"/>
      <c r="Z61" s="3"/>
    </row>
    <row r="62" spans="1:26" s="25" customFormat="1" ht="9.9" customHeight="1">
      <c r="A62" s="256">
        <v>59</v>
      </c>
      <c r="B62" s="250" t="s">
        <v>269</v>
      </c>
      <c r="C62" s="257" t="s">
        <v>270</v>
      </c>
      <c r="D62" s="251" t="s">
        <v>271</v>
      </c>
      <c r="E62" s="258" t="s">
        <v>71</v>
      </c>
      <c r="F62" s="253"/>
      <c r="G62" s="259">
        <v>60000</v>
      </c>
      <c r="H62" s="260">
        <v>120000</v>
      </c>
      <c r="I62" s="261">
        <v>8</v>
      </c>
      <c r="J62" s="262">
        <v>5</v>
      </c>
      <c r="K62" s="262"/>
      <c r="L62" s="262">
        <v>5</v>
      </c>
      <c r="M62" s="262">
        <v>5</v>
      </c>
      <c r="N62" s="263">
        <v>5</v>
      </c>
      <c r="O62" s="398"/>
      <c r="P62" s="22"/>
      <c r="Q62" s="11"/>
      <c r="R62" s="11">
        <v>1</v>
      </c>
      <c r="S62" s="11"/>
      <c r="T62" s="11"/>
      <c r="U62" s="12"/>
      <c r="Z62" s="3"/>
    </row>
    <row r="63" spans="1:26" s="25" customFormat="1" ht="9.9" customHeight="1">
      <c r="A63" s="256">
        <v>60</v>
      </c>
      <c r="B63" s="250" t="s">
        <v>72</v>
      </c>
      <c r="C63" s="251" t="s">
        <v>128</v>
      </c>
      <c r="D63" s="258" t="s">
        <v>272</v>
      </c>
      <c r="E63" s="258" t="s">
        <v>273</v>
      </c>
      <c r="F63" s="253">
        <v>65000</v>
      </c>
      <c r="G63" s="259">
        <v>130000</v>
      </c>
      <c r="H63" s="260">
        <v>130000</v>
      </c>
      <c r="I63" s="261">
        <v>5</v>
      </c>
      <c r="J63" s="262">
        <v>6</v>
      </c>
      <c r="K63" s="262"/>
      <c r="L63" s="262">
        <v>1</v>
      </c>
      <c r="M63" s="262">
        <v>6</v>
      </c>
      <c r="N63" s="263">
        <v>6</v>
      </c>
      <c r="O63" s="398"/>
      <c r="P63" s="22"/>
      <c r="Q63" s="11">
        <v>1</v>
      </c>
      <c r="R63" s="11"/>
      <c r="S63" s="11"/>
      <c r="T63" s="11"/>
      <c r="U63" s="12"/>
      <c r="W63" s="200"/>
      <c r="Z63" s="3"/>
    </row>
    <row r="64" spans="1:26" s="25" customFormat="1">
      <c r="A64" s="10">
        <v>60</v>
      </c>
      <c r="B64" s="207" t="s">
        <v>341</v>
      </c>
      <c r="C64" s="209" t="s">
        <v>339</v>
      </c>
      <c r="D64" s="236" t="s">
        <v>239</v>
      </c>
      <c r="E64" s="236" t="s">
        <v>273</v>
      </c>
      <c r="F64" s="202">
        <v>65000</v>
      </c>
      <c r="G64" s="159">
        <v>130000</v>
      </c>
      <c r="H64" s="160">
        <v>130000</v>
      </c>
      <c r="I64" s="22"/>
      <c r="J64" s="11"/>
      <c r="K64" s="11"/>
      <c r="L64" s="11">
        <v>10</v>
      </c>
      <c r="M64" s="11"/>
      <c r="N64" s="23"/>
      <c r="O64" s="398"/>
      <c r="P64" s="22"/>
      <c r="Q64" s="11">
        <v>1</v>
      </c>
      <c r="R64" s="11"/>
      <c r="S64" s="11"/>
      <c r="T64" s="11"/>
      <c r="U64" s="12"/>
      <c r="W64" s="203"/>
      <c r="Z64" s="3"/>
    </row>
    <row r="65" spans="1:26" s="25" customFormat="1" ht="9.9" customHeight="1">
      <c r="A65" s="10">
        <v>61</v>
      </c>
      <c r="B65" s="207" t="s">
        <v>73</v>
      </c>
      <c r="C65" s="208" t="s">
        <v>270</v>
      </c>
      <c r="D65" s="209" t="s">
        <v>272</v>
      </c>
      <c r="E65" s="236" t="s">
        <v>273</v>
      </c>
      <c r="F65" s="202">
        <v>10415</v>
      </c>
      <c r="G65" s="202">
        <v>10415</v>
      </c>
      <c r="H65" s="210">
        <v>10415</v>
      </c>
      <c r="I65" s="22">
        <v>4</v>
      </c>
      <c r="J65" s="11">
        <v>4</v>
      </c>
      <c r="K65" s="11"/>
      <c r="L65" s="11"/>
      <c r="M65" s="11">
        <v>4</v>
      </c>
      <c r="N65" s="23">
        <v>4</v>
      </c>
      <c r="O65" s="398"/>
      <c r="P65" s="22"/>
      <c r="Q65" s="11">
        <v>1</v>
      </c>
      <c r="R65" s="11"/>
      <c r="S65" s="11"/>
      <c r="T65" s="11"/>
      <c r="U65" s="12"/>
      <c r="Z65" s="3"/>
    </row>
    <row r="66" spans="1:26" s="25" customFormat="1" ht="9.9" customHeight="1">
      <c r="A66" s="275">
        <v>62</v>
      </c>
      <c r="B66" s="265" t="s">
        <v>389</v>
      </c>
      <c r="C66" s="266" t="s">
        <v>390</v>
      </c>
      <c r="D66" s="267" t="s">
        <v>391</v>
      </c>
      <c r="E66" s="276" t="s">
        <v>392</v>
      </c>
      <c r="F66" s="269">
        <v>67100</v>
      </c>
      <c r="G66" s="277">
        <v>90000</v>
      </c>
      <c r="H66" s="278">
        <v>120000</v>
      </c>
      <c r="I66" s="279">
        <v>2</v>
      </c>
      <c r="J66" s="280">
        <v>2</v>
      </c>
      <c r="K66" s="280"/>
      <c r="L66" s="280"/>
      <c r="M66" s="280">
        <v>2</v>
      </c>
      <c r="N66" s="281">
        <v>2</v>
      </c>
      <c r="O66" s="398"/>
      <c r="P66" s="22"/>
      <c r="Q66" s="11">
        <v>1</v>
      </c>
      <c r="R66" s="11"/>
      <c r="S66" s="11"/>
      <c r="T66" s="11"/>
      <c r="U66" s="12"/>
      <c r="Z66" s="3"/>
    </row>
    <row r="67" spans="1:26" s="25" customFormat="1" ht="9.9" customHeight="1">
      <c r="A67" s="10">
        <v>63</v>
      </c>
      <c r="B67" s="207" t="s">
        <v>274</v>
      </c>
      <c r="C67" s="208" t="s">
        <v>275</v>
      </c>
      <c r="D67" s="209" t="s">
        <v>272</v>
      </c>
      <c r="E67" s="236" t="s">
        <v>273</v>
      </c>
      <c r="F67" s="202">
        <v>10415</v>
      </c>
      <c r="G67" s="159">
        <v>15000</v>
      </c>
      <c r="H67" s="160">
        <v>15000</v>
      </c>
      <c r="I67" s="22">
        <v>5</v>
      </c>
      <c r="J67" s="11">
        <v>6</v>
      </c>
      <c r="K67" s="11"/>
      <c r="L67" s="11">
        <v>3</v>
      </c>
      <c r="M67" s="11">
        <v>6</v>
      </c>
      <c r="N67" s="23">
        <v>6</v>
      </c>
      <c r="O67" s="398"/>
      <c r="P67" s="22"/>
      <c r="Q67" s="11">
        <v>1</v>
      </c>
      <c r="R67" s="11"/>
      <c r="S67" s="11"/>
      <c r="T67" s="11"/>
      <c r="U67" s="12"/>
      <c r="Z67" s="3"/>
    </row>
    <row r="68" spans="1:26" s="25" customFormat="1">
      <c r="A68" s="10">
        <v>64</v>
      </c>
      <c r="B68" s="207" t="s">
        <v>74</v>
      </c>
      <c r="C68" s="208" t="s">
        <v>268</v>
      </c>
      <c r="D68" s="209" t="s">
        <v>267</v>
      </c>
      <c r="E68" s="236" t="s">
        <v>75</v>
      </c>
      <c r="F68" s="202">
        <v>197449</v>
      </c>
      <c r="G68" s="159">
        <v>210000</v>
      </c>
      <c r="H68" s="160">
        <v>210000</v>
      </c>
      <c r="I68" s="22"/>
      <c r="J68" s="11">
        <v>1</v>
      </c>
      <c r="K68" s="11"/>
      <c r="L68" s="11">
        <v>5</v>
      </c>
      <c r="M68" s="11">
        <v>1</v>
      </c>
      <c r="N68" s="23">
        <v>1</v>
      </c>
      <c r="O68" s="398"/>
      <c r="P68" s="22">
        <v>1</v>
      </c>
      <c r="Q68" s="11"/>
      <c r="R68" s="11"/>
      <c r="S68" s="11"/>
      <c r="T68" s="11"/>
      <c r="U68" s="12"/>
      <c r="Z68" s="3"/>
    </row>
    <row r="69" spans="1:26" s="32" customFormat="1" ht="9.9" customHeight="1">
      <c r="A69" s="10">
        <v>65</v>
      </c>
      <c r="B69" s="207" t="s">
        <v>76</v>
      </c>
      <c r="C69" s="208" t="s">
        <v>266</v>
      </c>
      <c r="D69" s="209" t="s">
        <v>267</v>
      </c>
      <c r="E69" s="236" t="s">
        <v>276</v>
      </c>
      <c r="F69" s="202">
        <v>190000</v>
      </c>
      <c r="G69" s="202">
        <v>190000</v>
      </c>
      <c r="H69" s="210">
        <v>190000</v>
      </c>
      <c r="I69" s="22">
        <v>6</v>
      </c>
      <c r="J69" s="11"/>
      <c r="K69" s="11"/>
      <c r="L69" s="11"/>
      <c r="M69" s="11"/>
      <c r="N69" s="23"/>
      <c r="O69" s="398"/>
      <c r="P69" s="22">
        <v>1</v>
      </c>
      <c r="Q69" s="11"/>
      <c r="R69" s="11"/>
      <c r="S69" s="11"/>
      <c r="T69" s="11"/>
      <c r="U69" s="12"/>
      <c r="V69" s="25"/>
      <c r="W69" s="25"/>
      <c r="Z69" s="3"/>
    </row>
    <row r="70" spans="1:26" s="25" customFormat="1">
      <c r="A70" s="256">
        <v>66</v>
      </c>
      <c r="B70" s="250" t="s">
        <v>77</v>
      </c>
      <c r="C70" s="251" t="s">
        <v>128</v>
      </c>
      <c r="D70" s="251" t="s">
        <v>272</v>
      </c>
      <c r="E70" s="258" t="s">
        <v>273</v>
      </c>
      <c r="F70" s="253">
        <v>221000</v>
      </c>
      <c r="G70" s="259">
        <v>219000</v>
      </c>
      <c r="H70" s="260">
        <v>219000</v>
      </c>
      <c r="I70" s="261">
        <v>5</v>
      </c>
      <c r="J70" s="262">
        <v>6</v>
      </c>
      <c r="K70" s="262"/>
      <c r="L70" s="262">
        <v>1</v>
      </c>
      <c r="M70" s="262">
        <v>6</v>
      </c>
      <c r="N70" s="263">
        <v>6</v>
      </c>
      <c r="O70" s="398"/>
      <c r="P70" s="22"/>
      <c r="Q70" s="11">
        <v>1</v>
      </c>
      <c r="R70" s="11"/>
      <c r="S70" s="11"/>
      <c r="T70" s="11"/>
      <c r="U70" s="12"/>
      <c r="Z70" s="3"/>
    </row>
    <row r="71" spans="1:26" s="25" customFormat="1" ht="9.9" customHeight="1">
      <c r="A71" s="10">
        <v>67</v>
      </c>
      <c r="B71" s="207" t="s">
        <v>277</v>
      </c>
      <c r="C71" s="208" t="s">
        <v>278</v>
      </c>
      <c r="D71" s="209" t="s">
        <v>267</v>
      </c>
      <c r="E71" s="236" t="s">
        <v>273</v>
      </c>
      <c r="F71" s="202">
        <v>153600</v>
      </c>
      <c r="G71" s="159">
        <v>164300</v>
      </c>
      <c r="H71" s="160">
        <v>75100</v>
      </c>
      <c r="I71" s="22"/>
      <c r="J71" s="11"/>
      <c r="K71" s="11"/>
      <c r="L71" s="11">
        <v>12</v>
      </c>
      <c r="M71" s="11"/>
      <c r="N71" s="23"/>
      <c r="O71" s="398"/>
      <c r="P71" s="22">
        <v>1</v>
      </c>
      <c r="Q71" s="11"/>
      <c r="R71" s="11"/>
      <c r="S71" s="11"/>
      <c r="T71" s="11"/>
      <c r="U71" s="12"/>
      <c r="Z71" s="3"/>
    </row>
    <row r="72" spans="1:26" s="25" customFormat="1" ht="9.9" customHeight="1">
      <c r="A72" s="10">
        <v>68</v>
      </c>
      <c r="B72" s="207" t="s">
        <v>78</v>
      </c>
      <c r="C72" s="208" t="s">
        <v>279</v>
      </c>
      <c r="D72" s="209" t="s">
        <v>280</v>
      </c>
      <c r="E72" s="236" t="s">
        <v>281</v>
      </c>
      <c r="F72" s="202">
        <v>5000</v>
      </c>
      <c r="G72" s="202">
        <v>5000</v>
      </c>
      <c r="H72" s="210">
        <v>5000</v>
      </c>
      <c r="I72" s="22">
        <v>5</v>
      </c>
      <c r="J72" s="11">
        <v>2</v>
      </c>
      <c r="K72" s="11">
        <v>3</v>
      </c>
      <c r="L72" s="11">
        <v>5</v>
      </c>
      <c r="M72" s="11">
        <v>2</v>
      </c>
      <c r="N72" s="23">
        <v>5</v>
      </c>
      <c r="O72" s="398"/>
      <c r="P72" s="22"/>
      <c r="Q72" s="11">
        <v>1</v>
      </c>
      <c r="R72" s="11"/>
      <c r="S72" s="11"/>
      <c r="T72" s="11"/>
      <c r="U72" s="12"/>
      <c r="Z72" s="3"/>
    </row>
    <row r="73" spans="1:26" s="25" customFormat="1" ht="9.9" customHeight="1">
      <c r="A73" s="10">
        <v>69</v>
      </c>
      <c r="B73" s="207" t="s">
        <v>79</v>
      </c>
      <c r="C73" s="208" t="s">
        <v>279</v>
      </c>
      <c r="D73" s="209" t="s">
        <v>280</v>
      </c>
      <c r="E73" s="236" t="s">
        <v>282</v>
      </c>
      <c r="F73" s="202">
        <v>600</v>
      </c>
      <c r="G73" s="202">
        <v>600</v>
      </c>
      <c r="H73" s="210">
        <v>600</v>
      </c>
      <c r="I73" s="22">
        <v>2</v>
      </c>
      <c r="J73" s="11">
        <v>2</v>
      </c>
      <c r="K73" s="11"/>
      <c r="L73" s="11">
        <v>2</v>
      </c>
      <c r="M73" s="11">
        <v>2</v>
      </c>
      <c r="N73" s="23">
        <v>2</v>
      </c>
      <c r="O73" s="398"/>
      <c r="P73" s="22"/>
      <c r="Q73" s="11">
        <v>1</v>
      </c>
      <c r="R73" s="11"/>
      <c r="S73" s="11"/>
      <c r="T73" s="11"/>
      <c r="U73" s="12"/>
      <c r="Z73" s="3"/>
    </row>
    <row r="74" spans="1:26" s="26" customFormat="1" ht="9.9" customHeight="1">
      <c r="A74" s="340">
        <v>70</v>
      </c>
      <c r="B74" s="341" t="s">
        <v>80</v>
      </c>
      <c r="C74" s="342" t="s">
        <v>170</v>
      </c>
      <c r="D74" s="343" t="s">
        <v>232</v>
      </c>
      <c r="E74" s="344" t="s">
        <v>65</v>
      </c>
      <c r="F74" s="345">
        <v>91000</v>
      </c>
      <c r="G74" s="346"/>
      <c r="H74" s="347"/>
      <c r="I74" s="204">
        <v>10</v>
      </c>
      <c r="J74" s="205">
        <v>5</v>
      </c>
      <c r="K74" s="205"/>
      <c r="L74" s="205">
        <v>5</v>
      </c>
      <c r="M74" s="205">
        <v>5</v>
      </c>
      <c r="N74" s="348">
        <v>5</v>
      </c>
      <c r="O74" s="398"/>
      <c r="P74" s="204"/>
      <c r="Q74" s="205">
        <v>1</v>
      </c>
      <c r="R74" s="205"/>
      <c r="S74" s="205"/>
      <c r="T74" s="205"/>
      <c r="U74" s="206"/>
      <c r="Z74" s="7"/>
    </row>
    <row r="75" spans="1:26" s="25" customFormat="1">
      <c r="A75" s="10">
        <v>71</v>
      </c>
      <c r="B75" s="207" t="s">
        <v>81</v>
      </c>
      <c r="C75" s="208" t="s">
        <v>283</v>
      </c>
      <c r="D75" s="209" t="s">
        <v>284</v>
      </c>
      <c r="E75" s="236" t="s">
        <v>65</v>
      </c>
      <c r="F75" s="202">
        <v>91000</v>
      </c>
      <c r="G75" s="245"/>
      <c r="H75" s="244"/>
      <c r="I75" s="22"/>
      <c r="J75" s="11"/>
      <c r="K75" s="11"/>
      <c r="L75" s="11">
        <v>6</v>
      </c>
      <c r="M75" s="11"/>
      <c r="N75" s="23"/>
      <c r="O75" s="398"/>
      <c r="P75" s="22">
        <v>1</v>
      </c>
      <c r="Q75" s="11"/>
      <c r="R75" s="11"/>
      <c r="S75" s="11"/>
      <c r="T75" s="11"/>
      <c r="U75" s="12"/>
      <c r="Z75" s="3"/>
    </row>
    <row r="76" spans="1:26" s="26" customFormat="1" ht="9.9" customHeight="1">
      <c r="A76" s="361">
        <v>72</v>
      </c>
      <c r="B76" s="362" t="s">
        <v>82</v>
      </c>
      <c r="C76" s="363" t="s">
        <v>407</v>
      </c>
      <c r="D76" s="364" t="s">
        <v>408</v>
      </c>
      <c r="E76" s="365" t="s">
        <v>83</v>
      </c>
      <c r="F76" s="366">
        <v>210000</v>
      </c>
      <c r="G76" s="367">
        <v>191000</v>
      </c>
      <c r="H76" s="368">
        <v>206000</v>
      </c>
      <c r="I76" s="369">
        <v>10</v>
      </c>
      <c r="J76" s="370">
        <v>5</v>
      </c>
      <c r="K76" s="370"/>
      <c r="L76" s="370">
        <v>5</v>
      </c>
      <c r="M76" s="370">
        <v>5</v>
      </c>
      <c r="N76" s="371">
        <v>5</v>
      </c>
      <c r="O76" s="398"/>
      <c r="P76" s="204"/>
      <c r="Q76" s="205"/>
      <c r="R76" s="205"/>
      <c r="S76" s="205">
        <v>1</v>
      </c>
      <c r="T76" s="205"/>
      <c r="U76" s="206"/>
      <c r="Z76" s="7"/>
    </row>
    <row r="77" spans="1:26" s="25" customFormat="1" ht="9.9" customHeight="1">
      <c r="A77" s="10">
        <v>73</v>
      </c>
      <c r="B77" s="207" t="s">
        <v>84</v>
      </c>
      <c r="C77" s="208" t="s">
        <v>286</v>
      </c>
      <c r="D77" s="209" t="s">
        <v>287</v>
      </c>
      <c r="E77" s="236" t="s">
        <v>288</v>
      </c>
      <c r="F77" s="202">
        <v>210000</v>
      </c>
      <c r="G77" s="159">
        <v>191000</v>
      </c>
      <c r="H77" s="160">
        <v>206000</v>
      </c>
      <c r="I77" s="22"/>
      <c r="J77" s="11"/>
      <c r="K77" s="11"/>
      <c r="L77" s="11">
        <v>12</v>
      </c>
      <c r="M77" s="11"/>
      <c r="N77" s="23"/>
      <c r="O77" s="398"/>
      <c r="P77" s="22">
        <v>1</v>
      </c>
      <c r="Q77" s="11"/>
      <c r="R77" s="11"/>
      <c r="S77" s="11"/>
      <c r="T77" s="11"/>
      <c r="U77" s="12"/>
      <c r="Z77" s="3"/>
    </row>
    <row r="78" spans="1:26" s="25" customFormat="1">
      <c r="A78" s="10">
        <v>74</v>
      </c>
      <c r="B78" s="207" t="s">
        <v>85</v>
      </c>
      <c r="C78" s="208" t="s">
        <v>285</v>
      </c>
      <c r="D78" s="209" t="s">
        <v>287</v>
      </c>
      <c r="E78" s="236" t="s">
        <v>46</v>
      </c>
      <c r="F78" s="202">
        <v>10000</v>
      </c>
      <c r="G78" s="159">
        <v>10000</v>
      </c>
      <c r="H78" s="210">
        <v>10000</v>
      </c>
      <c r="I78" s="22">
        <v>4</v>
      </c>
      <c r="J78" s="11">
        <v>4</v>
      </c>
      <c r="K78" s="11"/>
      <c r="L78" s="11"/>
      <c r="M78" s="11">
        <v>1</v>
      </c>
      <c r="N78" s="23">
        <v>1</v>
      </c>
      <c r="O78" s="398"/>
      <c r="P78" s="22">
        <v>1</v>
      </c>
      <c r="Q78" s="11"/>
      <c r="R78" s="11"/>
      <c r="S78" s="11"/>
      <c r="T78" s="11"/>
      <c r="U78" s="12"/>
      <c r="Z78" s="3"/>
    </row>
    <row r="79" spans="1:26" s="25" customFormat="1" ht="9.9" customHeight="1">
      <c r="A79" s="10">
        <v>75</v>
      </c>
      <c r="B79" s="207" t="s">
        <v>86</v>
      </c>
      <c r="C79" s="208" t="s">
        <v>289</v>
      </c>
      <c r="D79" s="209" t="s">
        <v>287</v>
      </c>
      <c r="E79" s="236" t="s">
        <v>87</v>
      </c>
      <c r="F79" s="202">
        <v>10000</v>
      </c>
      <c r="G79" s="202">
        <v>10000</v>
      </c>
      <c r="H79" s="244"/>
      <c r="I79" s="22">
        <v>1</v>
      </c>
      <c r="J79" s="11"/>
      <c r="K79" s="11"/>
      <c r="L79" s="11"/>
      <c r="M79" s="11"/>
      <c r="N79" s="23"/>
      <c r="O79" s="398"/>
      <c r="P79" s="22">
        <v>1</v>
      </c>
      <c r="Q79" s="11"/>
      <c r="R79" s="11"/>
      <c r="S79" s="11"/>
      <c r="T79" s="11"/>
      <c r="U79" s="12"/>
      <c r="Z79" s="3"/>
    </row>
    <row r="80" spans="1:26" s="25" customFormat="1" ht="9.9" customHeight="1">
      <c r="A80" s="10">
        <v>76</v>
      </c>
      <c r="B80" s="207" t="s">
        <v>88</v>
      </c>
      <c r="C80" s="208" t="s">
        <v>285</v>
      </c>
      <c r="D80" s="209" t="s">
        <v>290</v>
      </c>
      <c r="E80" s="236" t="s">
        <v>7</v>
      </c>
      <c r="F80" s="202">
        <v>33138</v>
      </c>
      <c r="G80" s="159">
        <v>35000</v>
      </c>
      <c r="H80" s="160">
        <v>35000</v>
      </c>
      <c r="I80" s="22">
        <v>4</v>
      </c>
      <c r="J80" s="11">
        <v>4</v>
      </c>
      <c r="K80" s="11"/>
      <c r="L80" s="11"/>
      <c r="M80" s="11">
        <v>4</v>
      </c>
      <c r="N80" s="23"/>
      <c r="O80" s="398"/>
      <c r="P80" s="22"/>
      <c r="Q80" s="11"/>
      <c r="R80" s="11"/>
      <c r="S80" s="11"/>
      <c r="T80" s="11">
        <v>1</v>
      </c>
      <c r="U80" s="12"/>
      <c r="Z80" s="3"/>
    </row>
    <row r="81" spans="1:26" s="25" customFormat="1" ht="9.9" customHeight="1">
      <c r="A81" s="10">
        <v>77</v>
      </c>
      <c r="B81" s="207" t="s">
        <v>89</v>
      </c>
      <c r="C81" s="208" t="s">
        <v>286</v>
      </c>
      <c r="D81" s="209" t="s">
        <v>287</v>
      </c>
      <c r="E81" s="236" t="s">
        <v>288</v>
      </c>
      <c r="F81" s="202">
        <v>38000</v>
      </c>
      <c r="G81" s="159">
        <v>60000</v>
      </c>
      <c r="H81" s="160">
        <v>70000</v>
      </c>
      <c r="I81" s="22"/>
      <c r="J81" s="11"/>
      <c r="K81" s="11"/>
      <c r="L81" s="11">
        <v>12</v>
      </c>
      <c r="M81" s="11"/>
      <c r="N81" s="23"/>
      <c r="O81" s="398"/>
      <c r="P81" s="22">
        <v>1</v>
      </c>
      <c r="Q81" s="11"/>
      <c r="R81" s="11"/>
      <c r="S81" s="11"/>
      <c r="T81" s="11"/>
      <c r="U81" s="12"/>
      <c r="Z81" s="3"/>
    </row>
    <row r="82" spans="1:26" s="25" customFormat="1" ht="12.75" customHeight="1">
      <c r="A82" s="10">
        <v>78</v>
      </c>
      <c r="B82" s="207" t="s">
        <v>291</v>
      </c>
      <c r="C82" s="208" t="s">
        <v>285</v>
      </c>
      <c r="D82" s="209" t="s">
        <v>292</v>
      </c>
      <c r="E82" s="236" t="s">
        <v>288</v>
      </c>
      <c r="F82" s="202">
        <v>38000</v>
      </c>
      <c r="G82" s="159">
        <v>60000</v>
      </c>
      <c r="H82" s="160">
        <v>70000</v>
      </c>
      <c r="I82" s="22">
        <v>5</v>
      </c>
      <c r="J82" s="11">
        <v>2</v>
      </c>
      <c r="K82" s="11">
        <v>3</v>
      </c>
      <c r="L82" s="11">
        <v>5</v>
      </c>
      <c r="M82" s="11">
        <v>2</v>
      </c>
      <c r="N82" s="23">
        <v>5</v>
      </c>
      <c r="O82" s="398"/>
      <c r="P82" s="22"/>
      <c r="Q82" s="11">
        <v>1</v>
      </c>
      <c r="R82" s="11"/>
      <c r="S82" s="11"/>
      <c r="T82" s="11"/>
      <c r="U82" s="12"/>
      <c r="Z82" s="3"/>
    </row>
    <row r="83" spans="1:26" s="31" customFormat="1" ht="9.9" customHeight="1">
      <c r="A83" s="10">
        <v>79</v>
      </c>
      <c r="B83" s="207" t="s">
        <v>293</v>
      </c>
      <c r="C83" s="209" t="s">
        <v>128</v>
      </c>
      <c r="D83" s="209" t="s">
        <v>287</v>
      </c>
      <c r="E83" s="236" t="s">
        <v>294</v>
      </c>
      <c r="F83" s="202">
        <v>96402</v>
      </c>
      <c r="G83" s="245"/>
      <c r="H83" s="244"/>
      <c r="I83" s="22">
        <v>5</v>
      </c>
      <c r="J83" s="11">
        <v>1</v>
      </c>
      <c r="K83" s="11">
        <v>5</v>
      </c>
      <c r="L83" s="11">
        <v>1</v>
      </c>
      <c r="M83" s="11">
        <v>1</v>
      </c>
      <c r="N83" s="23">
        <v>6</v>
      </c>
      <c r="O83" s="398"/>
      <c r="P83" s="22">
        <v>1</v>
      </c>
      <c r="Q83" s="11"/>
      <c r="R83" s="13"/>
      <c r="S83" s="13"/>
      <c r="T83" s="13"/>
      <c r="U83" s="14"/>
      <c r="V83" s="28"/>
      <c r="W83" s="28"/>
      <c r="Z83" s="3"/>
    </row>
    <row r="84" spans="1:26" s="25" customFormat="1" ht="9.9" customHeight="1">
      <c r="A84" s="10">
        <v>80</v>
      </c>
      <c r="B84" s="207" t="s">
        <v>295</v>
      </c>
      <c r="C84" s="208" t="s">
        <v>285</v>
      </c>
      <c r="D84" s="209" t="s">
        <v>287</v>
      </c>
      <c r="E84" s="236" t="s">
        <v>296</v>
      </c>
      <c r="F84" s="202">
        <v>100000</v>
      </c>
      <c r="G84" s="202">
        <v>100000</v>
      </c>
      <c r="H84" s="210">
        <v>100000</v>
      </c>
      <c r="I84" s="22">
        <v>4</v>
      </c>
      <c r="J84" s="11">
        <v>4</v>
      </c>
      <c r="K84" s="11"/>
      <c r="L84" s="11"/>
      <c r="M84" s="11">
        <v>4</v>
      </c>
      <c r="N84" s="23">
        <v>4</v>
      </c>
      <c r="O84" s="398"/>
      <c r="P84" s="22">
        <v>1</v>
      </c>
      <c r="Q84" s="11"/>
      <c r="R84" s="11"/>
      <c r="S84" s="11"/>
      <c r="T84" s="11"/>
      <c r="U84" s="12"/>
      <c r="Z84" s="3"/>
    </row>
    <row r="85" spans="1:26" s="25" customFormat="1" ht="9.9" customHeight="1">
      <c r="A85" s="10">
        <v>81</v>
      </c>
      <c r="B85" s="207" t="s">
        <v>297</v>
      </c>
      <c r="C85" s="209" t="s">
        <v>165</v>
      </c>
      <c r="D85" s="209" t="s">
        <v>290</v>
      </c>
      <c r="E85" s="236" t="s">
        <v>298</v>
      </c>
      <c r="F85" s="202">
        <v>5000</v>
      </c>
      <c r="G85" s="159">
        <v>20000</v>
      </c>
      <c r="H85" s="160">
        <v>20000</v>
      </c>
      <c r="I85" s="22">
        <v>4</v>
      </c>
      <c r="J85" s="11">
        <v>4</v>
      </c>
      <c r="K85" s="11"/>
      <c r="L85" s="11"/>
      <c r="M85" s="11"/>
      <c r="N85" s="23"/>
      <c r="O85" s="398"/>
      <c r="P85" s="22"/>
      <c r="Q85" s="11"/>
      <c r="R85" s="11"/>
      <c r="S85" s="11"/>
      <c r="T85" s="11">
        <v>1</v>
      </c>
      <c r="U85" s="12"/>
      <c r="Z85" s="3"/>
    </row>
    <row r="86" spans="1:26" s="25" customFormat="1" ht="9.9" customHeight="1">
      <c r="A86" s="10">
        <v>82</v>
      </c>
      <c r="B86" s="207" t="s">
        <v>299</v>
      </c>
      <c r="C86" s="208" t="s">
        <v>285</v>
      </c>
      <c r="D86" s="209" t="s">
        <v>287</v>
      </c>
      <c r="E86" s="236" t="s">
        <v>300</v>
      </c>
      <c r="F86" s="202">
        <v>500</v>
      </c>
      <c r="G86" s="159">
        <v>100000</v>
      </c>
      <c r="H86" s="160">
        <v>100000</v>
      </c>
      <c r="I86" s="22">
        <v>4</v>
      </c>
      <c r="J86" s="11"/>
      <c r="K86" s="11">
        <v>4</v>
      </c>
      <c r="L86" s="11">
        <v>1</v>
      </c>
      <c r="M86" s="11"/>
      <c r="N86" s="23">
        <v>4</v>
      </c>
      <c r="O86" s="398"/>
      <c r="P86" s="22">
        <v>1</v>
      </c>
      <c r="Q86" s="11"/>
      <c r="R86" s="11"/>
      <c r="S86" s="11"/>
      <c r="T86" s="11"/>
      <c r="U86" s="12"/>
      <c r="Z86" s="3"/>
    </row>
    <row r="87" spans="1:26" s="25" customFormat="1" ht="9.9" customHeight="1">
      <c r="A87" s="10">
        <v>83</v>
      </c>
      <c r="B87" s="207" t="s">
        <v>301</v>
      </c>
      <c r="C87" s="208" t="s">
        <v>289</v>
      </c>
      <c r="D87" s="209" t="s">
        <v>292</v>
      </c>
      <c r="E87" s="236" t="s">
        <v>302</v>
      </c>
      <c r="F87" s="202">
        <v>385436</v>
      </c>
      <c r="G87" s="245"/>
      <c r="H87" s="244"/>
      <c r="I87" s="22">
        <v>1</v>
      </c>
      <c r="J87" s="11"/>
      <c r="K87" s="11"/>
      <c r="L87" s="11"/>
      <c r="M87" s="11"/>
      <c r="N87" s="23"/>
      <c r="O87" s="398"/>
      <c r="P87" s="22"/>
      <c r="Q87" s="11">
        <v>1</v>
      </c>
      <c r="R87" s="11"/>
      <c r="S87" s="11"/>
      <c r="T87" s="11"/>
      <c r="U87" s="12"/>
      <c r="Z87" s="3"/>
    </row>
    <row r="88" spans="1:26" s="25" customFormat="1" ht="9.9" customHeight="1">
      <c r="A88" s="10">
        <v>84</v>
      </c>
      <c r="B88" s="207" t="s">
        <v>90</v>
      </c>
      <c r="C88" s="208" t="s">
        <v>289</v>
      </c>
      <c r="D88" s="209" t="s">
        <v>287</v>
      </c>
      <c r="E88" s="236" t="s">
        <v>70</v>
      </c>
      <c r="F88" s="202">
        <v>100000</v>
      </c>
      <c r="G88" s="159">
        <v>400000</v>
      </c>
      <c r="H88" s="160">
        <v>400000</v>
      </c>
      <c r="I88" s="22">
        <v>1</v>
      </c>
      <c r="J88" s="11"/>
      <c r="K88" s="11"/>
      <c r="L88" s="11"/>
      <c r="M88" s="11"/>
      <c r="N88" s="23"/>
      <c r="O88" s="398"/>
      <c r="P88" s="22">
        <v>1</v>
      </c>
      <c r="Q88" s="11"/>
      <c r="R88" s="11"/>
      <c r="S88" s="11"/>
      <c r="T88" s="11"/>
      <c r="U88" s="12"/>
      <c r="Z88" s="3"/>
    </row>
    <row r="89" spans="1:26" s="25" customFormat="1" ht="9.9" customHeight="1">
      <c r="A89" s="10">
        <v>85</v>
      </c>
      <c r="B89" s="207" t="s">
        <v>91</v>
      </c>
      <c r="C89" s="208" t="s">
        <v>289</v>
      </c>
      <c r="D89" s="209" t="s">
        <v>287</v>
      </c>
      <c r="E89" s="236" t="s">
        <v>92</v>
      </c>
      <c r="F89" s="202">
        <v>400000</v>
      </c>
      <c r="G89" s="202">
        <v>600000</v>
      </c>
      <c r="H89" s="210">
        <v>600000</v>
      </c>
      <c r="I89" s="22">
        <v>1</v>
      </c>
      <c r="J89" s="11"/>
      <c r="K89" s="11"/>
      <c r="L89" s="11"/>
      <c r="M89" s="11"/>
      <c r="N89" s="23"/>
      <c r="O89" s="398"/>
      <c r="P89" s="22">
        <v>1</v>
      </c>
      <c r="Q89" s="11"/>
      <c r="R89" s="11"/>
      <c r="S89" s="11"/>
      <c r="T89" s="11"/>
      <c r="U89" s="12"/>
      <c r="Z89" s="3"/>
    </row>
    <row r="90" spans="1:26" s="25" customFormat="1" ht="9.9" customHeight="1">
      <c r="A90" s="10">
        <v>86</v>
      </c>
      <c r="B90" s="207" t="s">
        <v>93</v>
      </c>
      <c r="C90" s="208" t="s">
        <v>289</v>
      </c>
      <c r="D90" s="209" t="s">
        <v>287</v>
      </c>
      <c r="E90" s="236" t="s">
        <v>94</v>
      </c>
      <c r="F90" s="202">
        <v>300000</v>
      </c>
      <c r="G90" s="202">
        <v>500000</v>
      </c>
      <c r="H90" s="210">
        <v>500000</v>
      </c>
      <c r="I90" s="22">
        <v>1</v>
      </c>
      <c r="J90" s="11"/>
      <c r="K90" s="11"/>
      <c r="L90" s="11"/>
      <c r="M90" s="11"/>
      <c r="N90" s="23"/>
      <c r="O90" s="398"/>
      <c r="P90" s="22">
        <v>1</v>
      </c>
      <c r="Q90" s="11"/>
      <c r="R90" s="11"/>
      <c r="S90" s="11"/>
      <c r="T90" s="11"/>
      <c r="U90" s="12"/>
      <c r="Z90" s="3"/>
    </row>
    <row r="91" spans="1:26" s="25" customFormat="1" ht="9.9" customHeight="1">
      <c r="A91" s="10">
        <v>87</v>
      </c>
      <c r="B91" s="207" t="s">
        <v>95</v>
      </c>
      <c r="C91" s="208" t="s">
        <v>254</v>
      </c>
      <c r="D91" s="209" t="s">
        <v>249</v>
      </c>
      <c r="E91" s="236" t="s">
        <v>10</v>
      </c>
      <c r="F91" s="202">
        <v>62980</v>
      </c>
      <c r="G91" s="202">
        <v>62980</v>
      </c>
      <c r="H91" s="210">
        <v>62980</v>
      </c>
      <c r="I91" s="22">
        <v>3</v>
      </c>
      <c r="J91" s="11">
        <v>4</v>
      </c>
      <c r="K91" s="11"/>
      <c r="L91" s="11">
        <v>1</v>
      </c>
      <c r="M91" s="11">
        <v>4</v>
      </c>
      <c r="N91" s="23">
        <v>4</v>
      </c>
      <c r="O91" s="398"/>
      <c r="P91" s="22"/>
      <c r="Q91" s="11"/>
      <c r="R91" s="11"/>
      <c r="S91" s="11"/>
      <c r="T91" s="11">
        <v>1</v>
      </c>
      <c r="U91" s="12"/>
      <c r="Z91" s="3"/>
    </row>
    <row r="92" spans="1:26" s="25" customFormat="1" ht="9.9" customHeight="1">
      <c r="A92" s="10">
        <v>88</v>
      </c>
      <c r="B92" s="207" t="s">
        <v>96</v>
      </c>
      <c r="C92" s="208" t="s">
        <v>253</v>
      </c>
      <c r="D92" s="209" t="s">
        <v>251</v>
      </c>
      <c r="E92" s="236" t="s">
        <v>46</v>
      </c>
      <c r="F92" s="202">
        <v>60000</v>
      </c>
      <c r="G92" s="202">
        <v>60000</v>
      </c>
      <c r="H92" s="210">
        <v>60000</v>
      </c>
      <c r="I92" s="22"/>
      <c r="J92" s="11">
        <v>1</v>
      </c>
      <c r="K92" s="11"/>
      <c r="L92" s="11">
        <v>3</v>
      </c>
      <c r="M92" s="11">
        <v>1</v>
      </c>
      <c r="N92" s="23">
        <v>1</v>
      </c>
      <c r="O92" s="398"/>
      <c r="P92" s="22">
        <v>1</v>
      </c>
      <c r="Q92" s="11"/>
      <c r="R92" s="11"/>
      <c r="S92" s="11"/>
      <c r="T92" s="11"/>
      <c r="U92" s="12"/>
      <c r="Z92" s="3"/>
    </row>
    <row r="93" spans="1:26" s="25" customFormat="1" ht="9.9" customHeight="1">
      <c r="A93" s="10">
        <v>89</v>
      </c>
      <c r="B93" s="207" t="s">
        <v>97</v>
      </c>
      <c r="C93" s="208" t="s">
        <v>253</v>
      </c>
      <c r="D93" s="209" t="s">
        <v>252</v>
      </c>
      <c r="E93" s="236" t="s">
        <v>257</v>
      </c>
      <c r="F93" s="202">
        <v>100</v>
      </c>
      <c r="G93" s="159">
        <v>100</v>
      </c>
      <c r="H93" s="160">
        <v>100</v>
      </c>
      <c r="I93" s="22">
        <v>4</v>
      </c>
      <c r="J93" s="11">
        <v>4</v>
      </c>
      <c r="K93" s="11"/>
      <c r="L93" s="11"/>
      <c r="M93" s="11">
        <v>4</v>
      </c>
      <c r="N93" s="23">
        <v>4</v>
      </c>
      <c r="O93" s="398"/>
      <c r="P93" s="22"/>
      <c r="Q93" s="11">
        <v>1</v>
      </c>
      <c r="R93" s="11"/>
      <c r="S93" s="11"/>
      <c r="T93" s="11"/>
      <c r="U93" s="12"/>
      <c r="Z93" s="3"/>
    </row>
    <row r="94" spans="1:26" s="25" customFormat="1" ht="9.9" customHeight="1">
      <c r="A94" s="10">
        <v>90</v>
      </c>
      <c r="B94" s="207" t="s">
        <v>98</v>
      </c>
      <c r="C94" s="208" t="s">
        <v>244</v>
      </c>
      <c r="D94" s="209" t="s">
        <v>303</v>
      </c>
      <c r="E94" s="236" t="s">
        <v>304</v>
      </c>
      <c r="F94" s="202">
        <v>10000</v>
      </c>
      <c r="G94" s="202">
        <v>10000</v>
      </c>
      <c r="H94" s="210">
        <v>10000</v>
      </c>
      <c r="I94" s="22">
        <v>4</v>
      </c>
      <c r="J94" s="11">
        <v>4</v>
      </c>
      <c r="K94" s="11"/>
      <c r="L94" s="11"/>
      <c r="M94" s="11">
        <v>4</v>
      </c>
      <c r="N94" s="23">
        <v>4</v>
      </c>
      <c r="O94" s="398"/>
      <c r="P94" s="22"/>
      <c r="Q94" s="11">
        <v>1</v>
      </c>
      <c r="R94" s="11"/>
      <c r="S94" s="11"/>
      <c r="T94" s="11"/>
      <c r="U94" s="12"/>
      <c r="Z94" s="3"/>
    </row>
    <row r="95" spans="1:26" s="25" customFormat="1" ht="10.5" customHeight="1">
      <c r="A95" s="10">
        <v>91</v>
      </c>
      <c r="B95" s="207" t="s">
        <v>99</v>
      </c>
      <c r="C95" s="208" t="s">
        <v>305</v>
      </c>
      <c r="D95" s="209" t="s">
        <v>306</v>
      </c>
      <c r="E95" s="236" t="s">
        <v>100</v>
      </c>
      <c r="F95" s="202">
        <v>40000</v>
      </c>
      <c r="G95" s="202">
        <v>40000</v>
      </c>
      <c r="H95" s="210">
        <v>40000</v>
      </c>
      <c r="I95" s="22">
        <v>4</v>
      </c>
      <c r="J95" s="11">
        <v>5</v>
      </c>
      <c r="K95" s="11"/>
      <c r="L95" s="11">
        <v>1</v>
      </c>
      <c r="M95" s="11">
        <v>5</v>
      </c>
      <c r="N95" s="23">
        <v>5</v>
      </c>
      <c r="O95" s="398"/>
      <c r="P95" s="22"/>
      <c r="Q95" s="11"/>
      <c r="R95" s="11"/>
      <c r="S95" s="11"/>
      <c r="T95" s="11"/>
      <c r="U95" s="12">
        <v>1</v>
      </c>
      <c r="Z95" s="3"/>
    </row>
    <row r="96" spans="1:26" s="25" customFormat="1" ht="9.9" customHeight="1">
      <c r="A96" s="10">
        <v>92</v>
      </c>
      <c r="B96" s="207" t="s">
        <v>307</v>
      </c>
      <c r="C96" s="208" t="s">
        <v>308</v>
      </c>
      <c r="D96" s="209" t="s">
        <v>306</v>
      </c>
      <c r="E96" s="236" t="s">
        <v>100</v>
      </c>
      <c r="F96" s="202">
        <v>10000</v>
      </c>
      <c r="G96" s="159">
        <v>50000</v>
      </c>
      <c r="H96" s="160">
        <v>50000</v>
      </c>
      <c r="I96" s="22"/>
      <c r="J96" s="11">
        <v>1</v>
      </c>
      <c r="K96" s="11"/>
      <c r="L96" s="11">
        <v>1</v>
      </c>
      <c r="M96" s="11">
        <v>1</v>
      </c>
      <c r="N96" s="23">
        <v>1</v>
      </c>
      <c r="O96" s="398"/>
      <c r="P96" s="22"/>
      <c r="Q96" s="11"/>
      <c r="R96" s="11"/>
      <c r="S96" s="11"/>
      <c r="T96" s="11"/>
      <c r="U96" s="12">
        <v>1</v>
      </c>
      <c r="Z96" s="3"/>
    </row>
    <row r="97" spans="1:26" s="25" customFormat="1" ht="9.9" customHeight="1">
      <c r="A97" s="10">
        <v>93</v>
      </c>
      <c r="B97" s="207" t="s">
        <v>101</v>
      </c>
      <c r="C97" s="208" t="s">
        <v>305</v>
      </c>
      <c r="D97" s="209" t="s">
        <v>303</v>
      </c>
      <c r="E97" s="236" t="s">
        <v>55</v>
      </c>
      <c r="F97" s="202">
        <v>5000</v>
      </c>
      <c r="G97" s="202">
        <v>5000</v>
      </c>
      <c r="H97" s="210">
        <v>5000</v>
      </c>
      <c r="I97" s="22">
        <v>4</v>
      </c>
      <c r="J97" s="11">
        <v>5</v>
      </c>
      <c r="K97" s="11"/>
      <c r="L97" s="11">
        <v>1</v>
      </c>
      <c r="M97" s="11">
        <v>5</v>
      </c>
      <c r="N97" s="23">
        <v>5</v>
      </c>
      <c r="O97" s="398"/>
      <c r="P97" s="22"/>
      <c r="Q97" s="11">
        <v>1</v>
      </c>
      <c r="R97" s="11"/>
      <c r="S97" s="11"/>
      <c r="T97" s="11"/>
      <c r="U97" s="12"/>
      <c r="Z97" s="3"/>
    </row>
    <row r="98" spans="1:26" s="26" customFormat="1" ht="9.9" customHeight="1">
      <c r="A98" s="340">
        <v>94</v>
      </c>
      <c r="B98" s="341" t="s">
        <v>102</v>
      </c>
      <c r="C98" s="342" t="s">
        <v>167</v>
      </c>
      <c r="D98" s="343" t="s">
        <v>230</v>
      </c>
      <c r="E98" s="344" t="s">
        <v>87</v>
      </c>
      <c r="F98" s="345">
        <v>800000</v>
      </c>
      <c r="G98" s="345">
        <v>800000</v>
      </c>
      <c r="H98" s="349">
        <v>800000</v>
      </c>
      <c r="I98" s="204">
        <v>1</v>
      </c>
      <c r="J98" s="205"/>
      <c r="K98" s="205"/>
      <c r="L98" s="205"/>
      <c r="M98" s="205"/>
      <c r="N98" s="348"/>
      <c r="O98" s="398"/>
      <c r="P98" s="204">
        <v>1</v>
      </c>
      <c r="Q98" s="205"/>
      <c r="R98" s="205"/>
      <c r="S98" s="205"/>
      <c r="T98" s="205"/>
      <c r="U98" s="206"/>
      <c r="Z98" s="7"/>
    </row>
    <row r="99" spans="1:26" s="26" customFormat="1" ht="9.9" customHeight="1" thickBot="1">
      <c r="A99" s="350">
        <v>95</v>
      </c>
      <c r="B99" s="351" t="s">
        <v>103</v>
      </c>
      <c r="C99" s="352" t="s">
        <v>167</v>
      </c>
      <c r="D99" s="353" t="s">
        <v>230</v>
      </c>
      <c r="E99" s="354" t="s">
        <v>104</v>
      </c>
      <c r="F99" s="355">
        <v>1572000</v>
      </c>
      <c r="G99" s="355">
        <v>1572000</v>
      </c>
      <c r="H99" s="356">
        <v>1572000</v>
      </c>
      <c r="I99" s="357">
        <v>1</v>
      </c>
      <c r="J99" s="358"/>
      <c r="K99" s="358"/>
      <c r="L99" s="358"/>
      <c r="M99" s="358"/>
      <c r="N99" s="359"/>
      <c r="O99" s="399"/>
      <c r="P99" s="357">
        <v>1</v>
      </c>
      <c r="Q99" s="358"/>
      <c r="R99" s="358"/>
      <c r="S99" s="358"/>
      <c r="T99" s="358"/>
      <c r="U99" s="360"/>
      <c r="Z99" s="7"/>
    </row>
    <row r="100" spans="1:26" s="103" customFormat="1" ht="9.9" customHeight="1">
      <c r="A100" s="25"/>
      <c r="B100" s="104"/>
      <c r="C100" s="104"/>
      <c r="D100" s="104"/>
      <c r="E100" s="24"/>
      <c r="F100" s="105"/>
      <c r="G100" s="105"/>
      <c r="H100" s="105"/>
      <c r="I100" s="25"/>
      <c r="J100" s="25"/>
      <c r="K100" s="25"/>
      <c r="L100" s="25"/>
      <c r="M100" s="25"/>
      <c r="N100" s="25"/>
      <c r="O100" s="102"/>
      <c r="P100" s="25"/>
      <c r="Q100" s="25"/>
      <c r="R100" s="25"/>
      <c r="S100" s="25"/>
      <c r="T100" s="25"/>
      <c r="U100" s="25"/>
    </row>
    <row r="101" spans="1:26" s="103" customFormat="1" ht="9.9" customHeight="1">
      <c r="A101" s="25"/>
      <c r="B101" s="104"/>
      <c r="C101" s="104"/>
      <c r="D101" s="104"/>
      <c r="E101" s="24"/>
      <c r="F101" s="105"/>
      <c r="G101" s="105"/>
      <c r="H101" s="105"/>
      <c r="I101" s="25"/>
      <c r="J101" s="25"/>
      <c r="K101" s="25"/>
      <c r="L101" s="25"/>
      <c r="M101" s="25"/>
      <c r="N101" s="25"/>
      <c r="O101" s="102"/>
      <c r="P101" s="25"/>
      <c r="Q101" s="25"/>
      <c r="R101" s="25"/>
      <c r="S101" s="25"/>
      <c r="T101" s="25"/>
      <c r="U101" s="25"/>
    </row>
    <row r="102" spans="1:26" s="103" customFormat="1" ht="9.9" customHeight="1" thickBot="1">
      <c r="A102" s="25"/>
      <c r="B102" s="104"/>
      <c r="C102" s="104"/>
      <c r="D102" s="247" t="s">
        <v>404</v>
      </c>
      <c r="E102" s="24"/>
      <c r="F102" s="105"/>
      <c r="G102" s="105"/>
      <c r="H102" s="105"/>
      <c r="I102" s="25"/>
      <c r="J102" s="25"/>
      <c r="K102" s="25"/>
      <c r="L102" s="25"/>
      <c r="M102" s="25"/>
      <c r="N102" s="25"/>
      <c r="O102" s="102"/>
      <c r="P102" s="25"/>
      <c r="Q102" s="25"/>
      <c r="R102" s="25"/>
      <c r="S102" s="25"/>
      <c r="T102" s="25"/>
      <c r="U102" s="25"/>
      <c r="W102" s="288"/>
    </row>
    <row r="103" spans="1:26" s="25" customFormat="1" ht="12">
      <c r="D103" s="8">
        <v>2000</v>
      </c>
      <c r="E103" s="376" t="s">
        <v>412</v>
      </c>
      <c r="F103" s="34">
        <f>(SUMPRODUCT(F4:F99,$I$4:$I$99))/10000-F104</f>
        <v>1564.0694000000001</v>
      </c>
      <c r="G103" s="34">
        <f t="shared" ref="G103:H103" si="0">(SUMPRODUCT(G4:G99,$I$4:$I$99))/10000-G104</f>
        <v>1624.7369000000001</v>
      </c>
      <c r="H103" s="35">
        <f t="shared" si="0"/>
        <v>1621.1305999999997</v>
      </c>
    </row>
    <row r="104" spans="1:26" s="25" customFormat="1" ht="12">
      <c r="D104" s="8"/>
      <c r="E104" s="375" t="s">
        <v>411</v>
      </c>
      <c r="F104" s="33">
        <f>(F99+F98+F76*$I$76+F74*$I$74+F69*$I$69)/10000</f>
        <v>652.20000000000005</v>
      </c>
      <c r="G104" s="33">
        <f t="shared" ref="G104:H104" si="1">(G99+G98+G76*$I$76+G74*$I$74+G69*$I$69)/10000</f>
        <v>542.20000000000005</v>
      </c>
      <c r="H104" s="36">
        <f t="shared" si="1"/>
        <v>557.20000000000005</v>
      </c>
      <c r="J104" s="377"/>
    </row>
    <row r="105" spans="1:26" s="25" customFormat="1" ht="13.2">
      <c r="D105" s="248">
        <v>432</v>
      </c>
      <c r="E105" s="107" t="s">
        <v>175</v>
      </c>
      <c r="F105" s="33">
        <f>(SUMPRODUCT(F4:F99,$J$4:$J$99))/10000</f>
        <v>949.49639999999999</v>
      </c>
      <c r="G105" s="33">
        <f>(SUMPRODUCT(G4:G99,$J$4:$J$99))/10000</f>
        <v>1087.2898</v>
      </c>
      <c r="H105" s="36">
        <f>(SUMPRODUCT(H4:H99,$J$4:$J$99))/10000</f>
        <v>1155.7619999999999</v>
      </c>
    </row>
    <row r="106" spans="1:26" s="25" customFormat="1" ht="13.2">
      <c r="A106" s="378">
        <f>F104/SUM(F103:F104)</f>
        <v>0.29427830389211707</v>
      </c>
      <c r="B106" s="378">
        <f>G104/SUM(G103:G104)</f>
        <v>0.25021494626816315</v>
      </c>
      <c r="C106" s="378">
        <f>H104/SUM(H103:H104)</f>
        <v>0.25579221078747189</v>
      </c>
      <c r="D106" s="248">
        <v>150</v>
      </c>
      <c r="E106" s="107" t="s">
        <v>336</v>
      </c>
      <c r="F106" s="33">
        <f>(SUMPRODUCT(F4:F99,$K$4:$K$99))/10000</f>
        <v>177.86349999999999</v>
      </c>
      <c r="G106" s="33">
        <f>(SUMPRODUCT(G4:G99,$K$4:$K$99))/10000</f>
        <v>110.62</v>
      </c>
      <c r="H106" s="36">
        <f>(SUMPRODUCT(H4:H99,$K$4:$K$99))/10000</f>
        <v>90.82</v>
      </c>
    </row>
    <row r="107" spans="1:26" s="25" customFormat="1" ht="13.2">
      <c r="D107" s="248"/>
      <c r="E107" s="107" t="s">
        <v>176</v>
      </c>
      <c r="F107" s="33">
        <f>(SUMPRODUCT(F4:F99,$L$4:$L$99))/10000</f>
        <v>1105.4001000000001</v>
      </c>
      <c r="G107" s="33">
        <f>(SUMPRODUCT(G4:G99,$L$4:$L$99))/10000</f>
        <v>1265.5142000000001</v>
      </c>
      <c r="H107" s="36">
        <f>(SUMPRODUCT(H4:H99,$L$4:$L$99))/10000</f>
        <v>1261.0658000000001</v>
      </c>
    </row>
    <row r="108" spans="1:26" s="25" customFormat="1" ht="13.2">
      <c r="D108" s="248">
        <v>420</v>
      </c>
      <c r="E108" s="107" t="s">
        <v>177</v>
      </c>
      <c r="F108" s="33">
        <f>(SUMPRODUCT(F4:F99,$M$4:$M$99))/10000</f>
        <v>861.25220000000002</v>
      </c>
      <c r="G108" s="33">
        <f>(SUMPRODUCT(G4:G99,$M$4:$M$99))/10000</f>
        <v>972.93010000000004</v>
      </c>
      <c r="H108" s="36">
        <f>(SUMPRODUCT(H4:H99,$M$4:$M$99))/10000</f>
        <v>1047.482</v>
      </c>
    </row>
    <row r="109" spans="1:26" s="25" customFormat="1" ht="13.8" thickBot="1">
      <c r="D109" s="248">
        <v>540</v>
      </c>
      <c r="E109" s="108" t="s">
        <v>178</v>
      </c>
      <c r="F109" s="37">
        <f>(SUMPRODUCT(F4:F99,$N$4:$N$99))/10000</f>
        <v>933.76329999999996</v>
      </c>
      <c r="G109" s="37">
        <f>(SUMPRODUCT(G4:G99,$N$4:$N$99))/10000</f>
        <v>924.6</v>
      </c>
      <c r="H109" s="38">
        <f>(SUMPRODUCT(H4:H99,$N$4:$N$99))/10000</f>
        <v>952.10199999999998</v>
      </c>
    </row>
    <row r="110" spans="1:26" s="25" customFormat="1" ht="13.8" thickBot="1">
      <c r="D110" s="31"/>
      <c r="E110" s="211"/>
      <c r="F110" s="33">
        <v>0</v>
      </c>
      <c r="G110" s="33">
        <v>0</v>
      </c>
      <c r="H110" s="33">
        <v>0</v>
      </c>
    </row>
    <row r="111" spans="1:26" s="25" customFormat="1" ht="12">
      <c r="D111" s="31"/>
      <c r="E111" s="214" t="s">
        <v>344</v>
      </c>
      <c r="F111" s="34" t="e">
        <f>(#REF!)/10000</f>
        <v>#REF!</v>
      </c>
      <c r="G111" s="34" t="e">
        <f>(#REF!)/10000</f>
        <v>#REF!</v>
      </c>
      <c r="H111" s="35" t="e">
        <f>(#REF!)/10000</f>
        <v>#REF!</v>
      </c>
    </row>
    <row r="112" spans="1:26" s="25" customFormat="1" ht="12">
      <c r="D112" s="31"/>
      <c r="E112" s="215" t="s">
        <v>345</v>
      </c>
      <c r="F112" s="33" t="e">
        <f>(SUM(#REF!))/10000</f>
        <v>#REF!</v>
      </c>
      <c r="G112" s="33" t="e">
        <f>(SUM(#REF!))/10000</f>
        <v>#REF!</v>
      </c>
      <c r="H112" s="36" t="e">
        <f>(SUM(#REF!))/10000</f>
        <v>#REF!</v>
      </c>
    </row>
    <row r="113" spans="2:10" s="25" customFormat="1" ht="12">
      <c r="D113" s="31"/>
      <c r="E113" s="215" t="s">
        <v>346</v>
      </c>
      <c r="F113" s="33" t="e">
        <f>(SUM(#REF!))/10000</f>
        <v>#REF!</v>
      </c>
      <c r="G113" s="33" t="e">
        <f>(SUM(#REF!))/10000</f>
        <v>#REF!</v>
      </c>
      <c r="H113" s="36" t="e">
        <f>(SUM(#REF!))/10000</f>
        <v>#REF!</v>
      </c>
    </row>
    <row r="114" spans="2:10" s="25" customFormat="1" ht="12.6" thickBot="1">
      <c r="D114" s="213"/>
      <c r="E114" s="216" t="s">
        <v>340</v>
      </c>
      <c r="F114" s="37" t="e">
        <f>(#REF!)/10000</f>
        <v>#REF!</v>
      </c>
      <c r="G114" s="37" t="e">
        <f>(#REF!)/10000</f>
        <v>#REF!</v>
      </c>
      <c r="H114" s="38" t="e">
        <f>(#REF!)/10000</f>
        <v>#REF!</v>
      </c>
      <c r="J114" s="212"/>
    </row>
    <row r="115" spans="2:10" s="25" customFormat="1" ht="10.199999999999999">
      <c r="D115" s="200"/>
      <c r="E115" s="76"/>
      <c r="F115" s="33"/>
      <c r="G115" s="33"/>
      <c r="H115" s="33"/>
    </row>
    <row r="116" spans="2:10" s="25" customFormat="1" ht="12.75" customHeight="1" thickBot="1">
      <c r="C116" s="289"/>
      <c r="D116" s="39"/>
      <c r="E116" s="290"/>
      <c r="F116" s="291"/>
      <c r="G116" s="291"/>
      <c r="H116" s="291"/>
    </row>
    <row r="117" spans="2:10" s="103" customFormat="1" ht="10.199999999999999">
      <c r="C117" s="320" t="s">
        <v>400</v>
      </c>
      <c r="D117" s="321" t="s">
        <v>401</v>
      </c>
      <c r="E117" s="322" t="s">
        <v>393</v>
      </c>
      <c r="F117" s="324">
        <v>2013</v>
      </c>
      <c r="G117" s="324">
        <v>2014</v>
      </c>
      <c r="H117" s="324">
        <v>2015</v>
      </c>
      <c r="I117" s="323" t="s">
        <v>402</v>
      </c>
    </row>
    <row r="118" spans="2:10" s="103" customFormat="1" ht="10.199999999999999">
      <c r="C118" s="295" t="s">
        <v>9</v>
      </c>
      <c r="D118" s="296" t="s">
        <v>347</v>
      </c>
      <c r="E118" s="296" t="s">
        <v>10</v>
      </c>
      <c r="F118" s="297">
        <v>3</v>
      </c>
      <c r="G118" s="298">
        <v>10</v>
      </c>
      <c r="H118" s="298">
        <v>10</v>
      </c>
      <c r="I118" s="299">
        <v>0</v>
      </c>
    </row>
    <row r="119" spans="2:10" s="103" customFormat="1" ht="10.199999999999999">
      <c r="C119" s="295" t="s">
        <v>384</v>
      </c>
      <c r="D119" s="296" t="s">
        <v>170</v>
      </c>
      <c r="E119" s="296" t="s">
        <v>378</v>
      </c>
      <c r="F119" s="297">
        <v>1.6666000000000001</v>
      </c>
      <c r="G119" s="298">
        <v>10</v>
      </c>
      <c r="H119" s="298">
        <v>10</v>
      </c>
      <c r="I119" s="299">
        <v>0</v>
      </c>
    </row>
    <row r="120" spans="2:10" s="103" customFormat="1" ht="10.199999999999999">
      <c r="C120" s="295" t="s">
        <v>396</v>
      </c>
      <c r="D120" s="296" t="s">
        <v>170</v>
      </c>
      <c r="E120" s="300" t="s">
        <v>71</v>
      </c>
      <c r="F120" s="297">
        <v>0</v>
      </c>
      <c r="G120" s="301">
        <v>6</v>
      </c>
      <c r="H120" s="301">
        <v>12</v>
      </c>
      <c r="I120" s="299">
        <v>5</v>
      </c>
    </row>
    <row r="121" spans="2:10" s="103" customFormat="1" ht="10.199999999999999">
      <c r="C121" s="295" t="s">
        <v>54</v>
      </c>
      <c r="D121" s="296" t="s">
        <v>337</v>
      </c>
      <c r="E121" s="300" t="s">
        <v>7</v>
      </c>
      <c r="F121" s="297">
        <v>2.5</v>
      </c>
      <c r="G121" s="301">
        <v>9.9167000000000005</v>
      </c>
      <c r="H121" s="301">
        <v>19</v>
      </c>
      <c r="I121" s="299">
        <v>0</v>
      </c>
    </row>
    <row r="122" spans="2:10" s="103" customFormat="1" ht="10.199999999999999">
      <c r="C122" s="295" t="s">
        <v>72</v>
      </c>
      <c r="D122" s="296" t="s">
        <v>342</v>
      </c>
      <c r="E122" s="300" t="s">
        <v>241</v>
      </c>
      <c r="F122" s="297">
        <v>6.5</v>
      </c>
      <c r="G122" s="301">
        <v>13</v>
      </c>
      <c r="H122" s="301">
        <v>13</v>
      </c>
      <c r="I122" s="299">
        <v>6</v>
      </c>
    </row>
    <row r="123" spans="2:10" s="103" customFormat="1" ht="10.199999999999999">
      <c r="C123" s="295" t="s">
        <v>77</v>
      </c>
      <c r="D123" s="296" t="s">
        <v>342</v>
      </c>
      <c r="E123" s="300" t="s">
        <v>241</v>
      </c>
      <c r="F123" s="297">
        <v>22.1</v>
      </c>
      <c r="G123" s="301">
        <v>21.9</v>
      </c>
      <c r="H123" s="301">
        <v>21.9</v>
      </c>
      <c r="I123" s="299">
        <v>6</v>
      </c>
    </row>
    <row r="124" spans="2:10" s="103" customFormat="1" ht="14.25" customHeight="1">
      <c r="C124" s="295" t="s">
        <v>405</v>
      </c>
      <c r="D124" s="296" t="s">
        <v>337</v>
      </c>
      <c r="E124" s="300" t="s">
        <v>406</v>
      </c>
      <c r="F124" s="297">
        <v>2.2400000000000002</v>
      </c>
      <c r="G124" s="301">
        <v>16.7</v>
      </c>
      <c r="H124" s="301">
        <v>17.100000000000001</v>
      </c>
      <c r="I124" s="299">
        <v>3</v>
      </c>
    </row>
    <row r="125" spans="2:10" s="103" customFormat="1" ht="10.199999999999999">
      <c r="B125" s="293"/>
      <c r="C125" s="302" t="s">
        <v>394</v>
      </c>
      <c r="D125" s="303" t="s">
        <v>343</v>
      </c>
      <c r="E125" s="304" t="s">
        <v>395</v>
      </c>
      <c r="F125" s="305">
        <v>0.05</v>
      </c>
      <c r="G125" s="306">
        <v>10</v>
      </c>
      <c r="H125" s="306">
        <v>10</v>
      </c>
      <c r="I125" s="307">
        <v>0</v>
      </c>
      <c r="J125" s="325" t="s">
        <v>403</v>
      </c>
    </row>
    <row r="126" spans="2:10" s="103" customFormat="1" ht="10.8" thickBot="1">
      <c r="C126" s="308" t="s">
        <v>82</v>
      </c>
      <c r="D126" s="309" t="s">
        <v>397</v>
      </c>
      <c r="E126" s="310" t="s">
        <v>83</v>
      </c>
      <c r="F126" s="311">
        <v>21</v>
      </c>
      <c r="G126" s="312">
        <v>19.100000000000001</v>
      </c>
      <c r="H126" s="312">
        <v>20.6</v>
      </c>
      <c r="I126" s="313">
        <v>5</v>
      </c>
    </row>
    <row r="127" spans="2:10" s="25" customFormat="1" ht="10.199999999999999">
      <c r="C127" s="314"/>
      <c r="D127" s="314"/>
      <c r="E127" s="315" t="s">
        <v>398</v>
      </c>
      <c r="F127" s="316"/>
      <c r="G127" s="316"/>
      <c r="H127" s="316">
        <f>SUMPRODUCT(H118:H126,I118:I126)</f>
        <v>423.7</v>
      </c>
      <c r="I127" s="314"/>
    </row>
    <row r="128" spans="2:10" s="25" customFormat="1" ht="10.199999999999999">
      <c r="B128" s="219"/>
      <c r="C128" s="317"/>
      <c r="D128" s="317"/>
      <c r="E128" s="315" t="s">
        <v>399</v>
      </c>
      <c r="F128" s="318"/>
      <c r="G128" s="318"/>
      <c r="H128" s="319">
        <f>H127/H109</f>
        <v>0.44501534499454892</v>
      </c>
      <c r="I128" s="317"/>
    </row>
    <row r="129" spans="2:21" s="25" customFormat="1" ht="10.8" thickBot="1">
      <c r="B129" s="219"/>
      <c r="C129" s="218">
        <v>3000</v>
      </c>
      <c r="D129" s="294"/>
      <c r="E129" s="292"/>
      <c r="F129" s="327">
        <f>3000/SUM(F103:F104)</f>
        <v>1.353626052861624</v>
      </c>
      <c r="G129" s="327">
        <f>3000/SUM(G103:G104)</f>
        <v>1.3844427126604377</v>
      </c>
      <c r="H129" s="327">
        <f>3000/SUM(H103:H104)</f>
        <v>1.3772014220431006</v>
      </c>
      <c r="I129" s="219"/>
    </row>
    <row r="130" spans="2:21" s="25" customFormat="1" ht="10.8">
      <c r="B130" s="219"/>
      <c r="C130" s="219"/>
      <c r="D130" s="294"/>
      <c r="E130" s="337" t="s">
        <v>410</v>
      </c>
      <c r="F130" s="329">
        <f>$C$129-F131</f>
        <v>2100</v>
      </c>
      <c r="G130" s="329">
        <f t="shared" ref="G130:H130" si="2">$C$129-G131</f>
        <v>2100</v>
      </c>
      <c r="H130" s="330">
        <f t="shared" si="2"/>
        <v>2100</v>
      </c>
      <c r="I130" s="400">
        <v>3000</v>
      </c>
      <c r="J130" s="381" t="s">
        <v>413</v>
      </c>
    </row>
    <row r="131" spans="2:21" s="25" customFormat="1" ht="10.8">
      <c r="B131" s="219"/>
      <c r="C131" s="219"/>
      <c r="D131" s="294"/>
      <c r="E131" s="372" t="s">
        <v>409</v>
      </c>
      <c r="F131" s="373">
        <f>$C$129*0.3</f>
        <v>900</v>
      </c>
      <c r="G131" s="373">
        <f t="shared" ref="G131:H131" si="3">$C$129*0.3</f>
        <v>900</v>
      </c>
      <c r="H131" s="374">
        <f t="shared" si="3"/>
        <v>900</v>
      </c>
      <c r="I131" s="400"/>
      <c r="J131" s="381"/>
    </row>
    <row r="132" spans="2:21" s="25" customFormat="1" ht="10.8">
      <c r="B132" s="219"/>
      <c r="C132" s="219"/>
      <c r="D132" s="294"/>
      <c r="E132" s="338" t="s">
        <v>106</v>
      </c>
      <c r="F132" s="331">
        <f>F140/10000*F129</f>
        <v>322.68076254628608</v>
      </c>
      <c r="G132" s="331">
        <f t="shared" ref="G132:H132" si="4">G140/10000*G129</f>
        <v>346.18834540128967</v>
      </c>
      <c r="H132" s="332">
        <f t="shared" si="4"/>
        <v>336.93701038767949</v>
      </c>
      <c r="I132" s="328">
        <v>400</v>
      </c>
      <c r="J132" s="326" t="s">
        <v>414</v>
      </c>
    </row>
    <row r="133" spans="2:21" s="25" customFormat="1" ht="10.8">
      <c r="B133" s="219"/>
      <c r="C133" s="219"/>
      <c r="D133" s="294"/>
      <c r="E133" s="338" t="s">
        <v>107</v>
      </c>
      <c r="F133" s="331">
        <f>F107*F129</f>
        <v>1496.2983741958444</v>
      </c>
      <c r="G133" s="331">
        <f t="shared" ref="G133:H133" si="5">G107*G129</f>
        <v>1752.0319119583039</v>
      </c>
      <c r="H133" s="332">
        <f t="shared" si="5"/>
        <v>1736.7416130499205</v>
      </c>
      <c r="I133" s="328">
        <v>800</v>
      </c>
      <c r="J133" s="326" t="s">
        <v>414</v>
      </c>
    </row>
    <row r="134" spans="2:21" s="25" customFormat="1" ht="10.8">
      <c r="B134" s="219"/>
      <c r="C134" s="219"/>
      <c r="D134" s="294"/>
      <c r="E134" s="338" t="s">
        <v>108</v>
      </c>
      <c r="F134" s="331">
        <f>F142/10000*F129</f>
        <v>296.31253312435751</v>
      </c>
      <c r="G134" s="331">
        <f t="shared" ref="G134:H134" si="6">G142/10000*G129</f>
        <v>311.46693750057972</v>
      </c>
      <c r="H134" s="332">
        <f t="shared" si="6"/>
        <v>310.77018336886061</v>
      </c>
      <c r="I134" s="328">
        <v>350</v>
      </c>
      <c r="J134" s="326" t="s">
        <v>414</v>
      </c>
    </row>
    <row r="135" spans="2:21" s="25" customFormat="1" ht="10.8">
      <c r="B135" s="219"/>
      <c r="C135" s="219"/>
      <c r="D135" s="294"/>
      <c r="E135" s="338" t="s">
        <v>109</v>
      </c>
      <c r="F135" s="331">
        <f>F109*F129*(1-$H$128)</f>
        <v>701.48191764130945</v>
      </c>
      <c r="G135" s="331">
        <f t="shared" ref="G135:H135" si="7">G109*G129*(1-$H$128)</f>
        <v>710.41128888160983</v>
      </c>
      <c r="H135" s="332">
        <f t="shared" si="7"/>
        <v>727.71598581041849</v>
      </c>
      <c r="I135" s="328">
        <v>800</v>
      </c>
      <c r="J135" s="326" t="s">
        <v>414</v>
      </c>
    </row>
    <row r="136" spans="2:21" s="25" customFormat="1" ht="10.8">
      <c r="B136" s="219"/>
      <c r="C136" s="219"/>
      <c r="D136" s="294"/>
      <c r="E136" s="338" t="s">
        <v>336</v>
      </c>
      <c r="F136" s="333">
        <f>F129*F106</f>
        <v>240.76066745315345</v>
      </c>
      <c r="G136" s="333">
        <f t="shared" ref="G136:H136" si="8">G129*G106</f>
        <v>153.14705287449763</v>
      </c>
      <c r="H136" s="334">
        <f t="shared" si="8"/>
        <v>125.07743314995439</v>
      </c>
      <c r="I136" s="328">
        <v>220</v>
      </c>
      <c r="J136" s="326" t="s">
        <v>414</v>
      </c>
    </row>
    <row r="137" spans="2:21" s="25" customFormat="1" thickBot="1">
      <c r="B137" s="219"/>
      <c r="C137" s="219"/>
      <c r="D137" s="294"/>
      <c r="E137" s="339" t="s">
        <v>173</v>
      </c>
      <c r="F137" s="335" t="e">
        <f>F114*F129</f>
        <v>#REF!</v>
      </c>
      <c r="G137" s="335" t="e">
        <f t="shared" ref="G137:H137" si="9">G114*G129</f>
        <v>#REF!</v>
      </c>
      <c r="H137" s="336" t="e">
        <f t="shared" si="9"/>
        <v>#REF!</v>
      </c>
      <c r="I137" s="328">
        <v>800</v>
      </c>
      <c r="J137" s="326" t="s">
        <v>414</v>
      </c>
    </row>
    <row r="138" spans="2:21" s="25" customFormat="1" ht="10.8" thickBot="1">
      <c r="D138" s="229"/>
      <c r="E138" s="76"/>
      <c r="F138" s="33"/>
      <c r="G138" s="33"/>
      <c r="H138" s="33"/>
    </row>
    <row r="139" spans="2:21" s="25" customFormat="1" ht="10.8">
      <c r="E139" s="201"/>
      <c r="F139" s="42">
        <f>F103*10000</f>
        <v>15640694</v>
      </c>
      <c r="G139" s="43">
        <f t="shared" ref="G139:H139" si="10">G103*10000</f>
        <v>16247369.000000002</v>
      </c>
      <c r="H139" s="43">
        <f t="shared" si="10"/>
        <v>16211305.999999998</v>
      </c>
      <c r="I139" s="409" t="s">
        <v>110</v>
      </c>
      <c r="J139" s="410"/>
      <c r="K139" s="411"/>
      <c r="L139" s="412"/>
      <c r="M139" s="39"/>
      <c r="N139" s="39"/>
      <c r="O139" s="39"/>
      <c r="P139" s="39"/>
      <c r="Q139" s="39"/>
      <c r="R139" s="39"/>
      <c r="S139" s="217"/>
      <c r="T139" s="217"/>
      <c r="U139" s="217"/>
    </row>
    <row r="140" spans="2:21" s="25" customFormat="1" ht="10.8">
      <c r="E140" s="201"/>
      <c r="F140" s="44">
        <f>SUMPRODUCT(F4:F99,$J$4:$J$99,$P$4:$P$99)</f>
        <v>2383825</v>
      </c>
      <c r="G140" s="45">
        <f>SUMPRODUCT(G4:G99,$J$4:$J$99,$P$4:$P$99)</f>
        <v>2500561</v>
      </c>
      <c r="H140" s="45">
        <f>SUMPRODUCT(H4:H99,$J$4:$J$99,$P$4:$P$99)</f>
        <v>2446534</v>
      </c>
      <c r="I140" s="387" t="s">
        <v>106</v>
      </c>
      <c r="J140" s="388"/>
      <c r="K140" s="389"/>
      <c r="L140" s="390"/>
      <c r="M140" s="381"/>
      <c r="N140" s="381"/>
      <c r="O140" s="381"/>
      <c r="P140" s="381"/>
      <c r="Q140" s="381"/>
      <c r="R140" s="381"/>
      <c r="S140" s="382"/>
      <c r="T140" s="382"/>
      <c r="U140" s="382"/>
    </row>
    <row r="141" spans="2:21" s="25" customFormat="1" ht="10.8">
      <c r="E141" s="201"/>
      <c r="F141" s="227">
        <f>F107*10000</f>
        <v>11054001</v>
      </c>
      <c r="G141" s="45">
        <f>G107*10000</f>
        <v>12655142</v>
      </c>
      <c r="H141" s="228">
        <f t="shared" ref="H141" si="11">H107*10000</f>
        <v>12610658</v>
      </c>
      <c r="I141" s="387" t="s">
        <v>107</v>
      </c>
      <c r="J141" s="388"/>
      <c r="K141" s="389"/>
      <c r="L141" s="390"/>
      <c r="M141" s="381"/>
      <c r="N141" s="381"/>
      <c r="O141" s="381"/>
      <c r="P141" s="381"/>
      <c r="Q141" s="381"/>
      <c r="R141" s="381"/>
      <c r="S141" s="382"/>
      <c r="T141" s="382"/>
      <c r="U141" s="382"/>
    </row>
    <row r="142" spans="2:21" s="25" customFormat="1" ht="10.8">
      <c r="D142" s="200"/>
      <c r="E142" s="201"/>
      <c r="F142" s="44">
        <f>SUMPRODUCT(F$4:F$99,$M$4:$M$99,$P$4:$P$99)</f>
        <v>2189028</v>
      </c>
      <c r="G142" s="45">
        <f>SUMPRODUCT(G4:G99,$M$4:$M$99,$P$4:$P$99)</f>
        <v>2249764</v>
      </c>
      <c r="H142" s="45">
        <f>SUMPRODUCT(H4:H99,$M$4:$M$99,$P$4:$P$99)</f>
        <v>2256534</v>
      </c>
      <c r="I142" s="387" t="s">
        <v>108</v>
      </c>
      <c r="J142" s="388"/>
      <c r="K142" s="389"/>
      <c r="L142" s="390"/>
      <c r="M142" s="381"/>
      <c r="N142" s="381"/>
      <c r="O142" s="381"/>
      <c r="P142" s="381"/>
      <c r="Q142" s="381"/>
      <c r="R142" s="381"/>
      <c r="S142" s="382"/>
      <c r="T142" s="382"/>
      <c r="U142" s="382"/>
    </row>
    <row r="143" spans="2:21" s="25" customFormat="1" ht="10.8">
      <c r="D143" s="200"/>
      <c r="E143" s="201"/>
      <c r="F143" s="46">
        <f>SUMPRODUCT(F$4:F$99,$N$4:$N$99,$P$4:$P$99)</f>
        <v>3575463</v>
      </c>
      <c r="G143" s="47">
        <f>SUMPRODUCT(G$4:G$99,$N$4:$N$99,$P$4:$P$99)</f>
        <v>3097764</v>
      </c>
      <c r="H143" s="47">
        <f>SUMPRODUCT(H$4:H$99,$N$4:$N$99,$P$4:$P$99)</f>
        <v>2896534</v>
      </c>
      <c r="I143" s="387" t="s">
        <v>109</v>
      </c>
      <c r="J143" s="388"/>
      <c r="K143" s="389"/>
      <c r="L143" s="390"/>
      <c r="M143" s="381"/>
      <c r="N143" s="381"/>
      <c r="O143" s="381"/>
      <c r="P143" s="381"/>
      <c r="Q143" s="381"/>
      <c r="R143" s="381"/>
      <c r="S143" s="382"/>
      <c r="T143" s="382"/>
      <c r="U143" s="382"/>
    </row>
    <row r="144" spans="2:21" s="25" customFormat="1">
      <c r="E144" s="201"/>
      <c r="F144" s="48">
        <f>SUMPRODUCT(F$4:F$99,$J$4:$J$99,$Q$4:$Q$99)</f>
        <v>3576195</v>
      </c>
      <c r="G144" s="49">
        <f>SUMPRODUCT(G$4:G$99,$J$4:$J$99,$Q$4:$Q$99)</f>
        <v>2809260</v>
      </c>
      <c r="H144" s="49">
        <f>SUMPRODUCT(H$4:H$99,$J$4:$J$99,$Q$4:$Q$99)</f>
        <v>2889260</v>
      </c>
      <c r="I144" s="383" t="s">
        <v>179</v>
      </c>
      <c r="J144" s="384"/>
      <c r="K144" s="385"/>
      <c r="L144" s="386"/>
      <c r="M144" s="381"/>
      <c r="N144" s="381"/>
      <c r="O144" s="381"/>
      <c r="P144" s="381"/>
      <c r="Q144" s="381"/>
      <c r="R144" s="381"/>
      <c r="S144" s="382"/>
      <c r="T144" s="382"/>
      <c r="U144" s="382"/>
    </row>
    <row r="145" spans="5:21" s="25" customFormat="1">
      <c r="E145" s="201"/>
      <c r="F145" s="50">
        <f>SUMPRODUCT(F$4:F$99,$N$4:$N$99,$Q$4:$Q$99)</f>
        <v>3575195</v>
      </c>
      <c r="G145" s="51">
        <f>SUMPRODUCT(G$4:G$99,$N$4:$N$99,$Q$4:$Q$99)</f>
        <v>2924260</v>
      </c>
      <c r="H145" s="51">
        <f>SUMPRODUCT(H$4:H$99,$N$4:$N$99,$Q$4:$Q$99)</f>
        <v>3034260</v>
      </c>
      <c r="I145" s="383" t="s">
        <v>180</v>
      </c>
      <c r="J145" s="384"/>
      <c r="K145" s="385"/>
      <c r="L145" s="386"/>
      <c r="M145" s="381"/>
      <c r="N145" s="381"/>
      <c r="O145" s="381"/>
      <c r="P145" s="381"/>
      <c r="Q145" s="381"/>
      <c r="R145" s="381"/>
      <c r="S145" s="382"/>
      <c r="T145" s="382"/>
      <c r="U145" s="382"/>
    </row>
    <row r="146" spans="5:21" s="25" customFormat="1">
      <c r="E146" s="201"/>
      <c r="F146" s="52">
        <f>SUMPRODUCT(F$4:F$99,$M$4:$M$99,$Q$4:$Q$99)</f>
        <v>3246195</v>
      </c>
      <c r="G146" s="53">
        <f>SUMPRODUCT(G$4:G$99,$M$4:$M$99,$Q$4:$Q$99)</f>
        <v>2729260</v>
      </c>
      <c r="H146" s="53">
        <f>SUMPRODUCT(H$4:H$99,$M$4:$M$99,$Q$4:$Q$99)</f>
        <v>2809260</v>
      </c>
      <c r="I146" s="383" t="s">
        <v>181</v>
      </c>
      <c r="J146" s="384"/>
      <c r="K146" s="385"/>
      <c r="L146" s="386"/>
      <c r="M146" s="381"/>
      <c r="N146" s="381"/>
      <c r="O146" s="381"/>
      <c r="P146" s="381"/>
      <c r="Q146" s="381"/>
      <c r="R146" s="381"/>
      <c r="S146" s="382"/>
      <c r="T146" s="382"/>
      <c r="U146" s="382"/>
    </row>
    <row r="147" spans="5:21" s="25" customFormat="1">
      <c r="E147" s="201"/>
      <c r="F147" s="54">
        <f>SUMPRODUCT(F$4:F$99,$J$4:$J$99,$R$4:$R$99)</f>
        <v>1311466</v>
      </c>
      <c r="G147" s="55">
        <f>SUMPRODUCT(G$4:G$99,$J$4:$J$99,$R$4:$R$99)</f>
        <v>2755800</v>
      </c>
      <c r="H147" s="55">
        <f>SUMPRODUCT(H$4:H$99,$J$4:$J$99,$R$4:$R$99)</f>
        <v>3067800</v>
      </c>
      <c r="I147" s="425" t="s">
        <v>182</v>
      </c>
      <c r="J147" s="426"/>
      <c r="K147" s="427"/>
      <c r="L147" s="428"/>
      <c r="M147" s="381"/>
      <c r="N147" s="381"/>
      <c r="O147" s="381"/>
      <c r="P147" s="381"/>
      <c r="Q147" s="381"/>
      <c r="R147" s="381"/>
      <c r="S147" s="382"/>
      <c r="T147" s="382"/>
      <c r="U147" s="382"/>
    </row>
    <row r="148" spans="5:21" s="25" customFormat="1">
      <c r="E148" s="201"/>
      <c r="F148" s="56">
        <f>SUMPRODUCT(F$4:F$99,$N$4:$N$99,$R$4:$R$99)</f>
        <v>288667</v>
      </c>
      <c r="G148" s="57">
        <f>SUMPRODUCT(G$4:G$99,$N$4:$N$99,$R$4:$R$99)</f>
        <v>1271000</v>
      </c>
      <c r="H148" s="57">
        <f>SUMPRODUCT(H$4:H$99,$N$4:$N$99,$R$4:$R$99)</f>
        <v>1583000</v>
      </c>
      <c r="I148" s="425" t="s">
        <v>183</v>
      </c>
      <c r="J148" s="426"/>
      <c r="K148" s="427"/>
      <c r="L148" s="428"/>
      <c r="M148" s="381"/>
      <c r="N148" s="381"/>
      <c r="O148" s="381"/>
      <c r="P148" s="381"/>
      <c r="Q148" s="381"/>
      <c r="R148" s="381"/>
      <c r="S148" s="382"/>
      <c r="T148" s="382"/>
      <c r="U148" s="382"/>
    </row>
    <row r="149" spans="5:21" s="25" customFormat="1">
      <c r="E149" s="201"/>
      <c r="F149" s="58">
        <f>SUMPRODUCT(F$4:F$99,$M$4:$M$99,$R$4:$R$99)</f>
        <v>1034639</v>
      </c>
      <c r="G149" s="59">
        <f>SUMPRODUCT(G$4:G$99,$M$4:$M$99,$R$4:$R$99)</f>
        <v>2323000</v>
      </c>
      <c r="H149" s="59">
        <f>SUMPRODUCT(H$4:H$99,$M$4:$M$99,$R$4:$R$99)</f>
        <v>2635000</v>
      </c>
      <c r="I149" s="425" t="s">
        <v>184</v>
      </c>
      <c r="J149" s="426"/>
      <c r="K149" s="427"/>
      <c r="L149" s="428"/>
      <c r="M149" s="381"/>
      <c r="N149" s="381"/>
      <c r="O149" s="381"/>
      <c r="P149" s="381"/>
      <c r="Q149" s="381"/>
      <c r="R149" s="381"/>
      <c r="S149" s="382"/>
      <c r="T149" s="382"/>
      <c r="U149" s="382"/>
    </row>
    <row r="150" spans="5:21" s="25" customFormat="1">
      <c r="E150" s="201"/>
      <c r="F150" s="60">
        <f>SUMPRODUCT(F$4:F$99,$J$4:$J$99,$T$4:$T$99)</f>
        <v>936778</v>
      </c>
      <c r="G150" s="61">
        <f>SUMPRODUCT(G$4:G$99,$J$4:$J$99,$T$4:$T$99)</f>
        <v>1560727</v>
      </c>
      <c r="H150" s="61">
        <f>SUMPRODUCT(H$4:H$99,$J$4:$J$99,$T$4:$T$99)</f>
        <v>1833226</v>
      </c>
      <c r="I150" s="403" t="s">
        <v>185</v>
      </c>
      <c r="J150" s="404"/>
      <c r="K150" s="405"/>
      <c r="L150" s="406"/>
      <c r="M150" s="381"/>
      <c r="N150" s="381"/>
      <c r="O150" s="381"/>
      <c r="P150" s="381"/>
      <c r="Q150" s="381"/>
      <c r="R150" s="381"/>
      <c r="S150" s="382"/>
      <c r="T150" s="382"/>
      <c r="U150" s="382"/>
    </row>
    <row r="151" spans="5:21" s="25" customFormat="1">
      <c r="E151" s="201"/>
      <c r="F151" s="62">
        <f>SUMPRODUCT(F$4:F$99,$N$4:$N$99,$T$4:$T$99)</f>
        <v>611608</v>
      </c>
      <c r="G151" s="63">
        <f>SUMPRODUCT(G$4:G$99,$N$4:$N$99,$T$4:$T$99)</f>
        <v>706426</v>
      </c>
      <c r="H151" s="63">
        <f>SUMPRODUCT(H$4:H$99,$N$4:$N$99,$T$4:$T$99)</f>
        <v>686426</v>
      </c>
      <c r="I151" s="403" t="s">
        <v>186</v>
      </c>
      <c r="J151" s="404"/>
      <c r="K151" s="405"/>
      <c r="L151" s="406"/>
      <c r="M151" s="381"/>
      <c r="N151" s="381"/>
      <c r="O151" s="381"/>
      <c r="P151" s="381"/>
      <c r="Q151" s="381"/>
      <c r="R151" s="381"/>
      <c r="S151" s="382"/>
      <c r="T151" s="382"/>
      <c r="U151" s="382"/>
    </row>
    <row r="152" spans="5:21" s="25" customFormat="1">
      <c r="E152" s="201"/>
      <c r="F152" s="64">
        <f>SUMPRODUCT(F$4:F$99,$M$4:$M$99,$T$4:$T$99)</f>
        <v>855960</v>
      </c>
      <c r="G152" s="65">
        <f>SUMPRODUCT(G$4:G$99,$M$4:$M$99,$T$4:$T$99)</f>
        <v>1180727</v>
      </c>
      <c r="H152" s="65">
        <f>SUMPRODUCT(H$4:H$99,$M$4:$M$99,$T$4:$T$99)</f>
        <v>1453226</v>
      </c>
      <c r="I152" s="403" t="s">
        <v>187</v>
      </c>
      <c r="J152" s="404"/>
      <c r="K152" s="405"/>
      <c r="L152" s="406"/>
      <c r="M152" s="381"/>
      <c r="N152" s="381"/>
      <c r="O152" s="381"/>
      <c r="P152" s="381"/>
      <c r="Q152" s="381"/>
      <c r="R152" s="381"/>
      <c r="S152" s="382"/>
      <c r="T152" s="382"/>
      <c r="U152" s="382"/>
    </row>
    <row r="153" spans="5:21" s="25" customFormat="1">
      <c r="E153" s="201"/>
      <c r="F153" s="66">
        <f>SUMPRODUCT(F$4:F$99,$J$4:$J$99,$S$4:$S$99)</f>
        <v>1076700</v>
      </c>
      <c r="G153" s="67">
        <f>SUMPRODUCT(G$4:G$99,$J$4:$J$99,$S$4:$S$99)</f>
        <v>996550</v>
      </c>
      <c r="H153" s="67">
        <f>SUMPRODUCT(H$4:H$99,$J$4:$J$99,$S$4:$S$99)</f>
        <v>1070800</v>
      </c>
      <c r="I153" s="417" t="s">
        <v>188</v>
      </c>
      <c r="J153" s="418"/>
      <c r="K153" s="419"/>
      <c r="L153" s="420"/>
      <c r="M153" s="381"/>
      <c r="N153" s="381"/>
      <c r="O153" s="381"/>
      <c r="P153" s="381"/>
      <c r="Q153" s="381"/>
      <c r="R153" s="381"/>
      <c r="S153" s="382"/>
      <c r="T153" s="382"/>
      <c r="U153" s="382"/>
    </row>
    <row r="154" spans="5:21" s="25" customFormat="1">
      <c r="E154" s="201"/>
      <c r="F154" s="68">
        <f>SUMPRODUCT(F$4:F$99,$N$4:$N$99,$S$4:$S$99)</f>
        <v>1076700</v>
      </c>
      <c r="G154" s="69">
        <f>SUMPRODUCT(G$4:G$99,$N$4:$N$99,$S$4:$S$99)</f>
        <v>996550</v>
      </c>
      <c r="H154" s="69">
        <f>SUMPRODUCT(H$4:H$99,$N$4:$N$99,$S$4:$S$99)</f>
        <v>1070800</v>
      </c>
      <c r="I154" s="417" t="s">
        <v>189</v>
      </c>
      <c r="J154" s="418"/>
      <c r="K154" s="419"/>
      <c r="L154" s="420"/>
      <c r="M154" s="381"/>
      <c r="N154" s="381"/>
      <c r="O154" s="381"/>
      <c r="P154" s="381"/>
      <c r="Q154" s="381"/>
      <c r="R154" s="381"/>
      <c r="S154" s="382"/>
      <c r="T154" s="382"/>
      <c r="U154" s="382"/>
    </row>
    <row r="155" spans="5:21" s="25" customFormat="1">
      <c r="E155" s="201"/>
      <c r="F155" s="70">
        <f>SUMPRODUCT(F$4:F$99,$M$4:$M$99,$S$4:$S$99)</f>
        <v>1076700</v>
      </c>
      <c r="G155" s="71">
        <f>SUMPRODUCT(G$4:G$99,$M$4:$M$99,$S$4:$S$99)</f>
        <v>996550</v>
      </c>
      <c r="H155" s="71">
        <f>SUMPRODUCT(H$4:H$99,$M$4:$M$99,$S$4:$S$99)</f>
        <v>1070800</v>
      </c>
      <c r="I155" s="417" t="s">
        <v>190</v>
      </c>
      <c r="J155" s="418"/>
      <c r="K155" s="419"/>
      <c r="L155" s="420"/>
      <c r="M155" s="381"/>
      <c r="N155" s="381"/>
      <c r="O155" s="381"/>
      <c r="P155" s="381"/>
      <c r="Q155" s="381"/>
      <c r="R155" s="381"/>
      <c r="S155" s="382"/>
      <c r="T155" s="382"/>
      <c r="U155" s="382"/>
    </row>
    <row r="156" spans="5:21" s="25" customFormat="1">
      <c r="E156" s="201"/>
      <c r="F156" s="72">
        <f>SUMPRODUCT(F$4:F$99,$J$4:$J$99,$U$4:$U$99)</f>
        <v>210000</v>
      </c>
      <c r="G156" s="73">
        <f>SUMPRODUCT(G$4:G$99,$J$4:$J$99,$U$4:$U$99)</f>
        <v>250000</v>
      </c>
      <c r="H156" s="73">
        <f>SUMPRODUCT(H$4:H$99,$J$4:$J$99,$U$4:$U$99)</f>
        <v>250000</v>
      </c>
      <c r="I156" s="421" t="s">
        <v>191</v>
      </c>
      <c r="J156" s="422"/>
      <c r="K156" s="423"/>
      <c r="L156" s="424"/>
      <c r="M156" s="381"/>
      <c r="N156" s="381"/>
      <c r="O156" s="381"/>
      <c r="P156" s="381"/>
      <c r="Q156" s="381"/>
      <c r="R156" s="381"/>
      <c r="S156" s="382"/>
      <c r="T156" s="382"/>
      <c r="U156" s="382"/>
    </row>
    <row r="157" spans="5:21" s="25" customFormat="1" ht="12" thickBot="1">
      <c r="E157" s="201"/>
      <c r="F157" s="74">
        <f>SUMPRODUCT(F$4:F$99,$M$4:$M$99,$U$4:$U$99)</f>
        <v>210000</v>
      </c>
      <c r="G157" s="75">
        <f>SUMPRODUCT(G$4:G$99,$M$4:$M$99,$U$4:$U$99)</f>
        <v>250000</v>
      </c>
      <c r="H157" s="75">
        <f>SUMPRODUCT(H$4:H$99,$M$4:$M$99,$U$4:$U$99)</f>
        <v>250000</v>
      </c>
      <c r="I157" s="413" t="s">
        <v>192</v>
      </c>
      <c r="J157" s="414"/>
      <c r="K157" s="415"/>
      <c r="L157" s="416"/>
      <c r="M157" s="381"/>
      <c r="N157" s="381"/>
      <c r="O157" s="381"/>
      <c r="P157" s="381"/>
      <c r="Q157" s="381"/>
      <c r="R157" s="381"/>
      <c r="S157" s="381"/>
      <c r="T157" s="381"/>
      <c r="U157" s="381"/>
    </row>
    <row r="158" spans="5:21" s="25" customFormat="1" ht="10.199999999999999">
      <c r="F158" s="33"/>
    </row>
    <row r="159" spans="5:21" s="25" customFormat="1" ht="10.199999999999999">
      <c r="F159" s="33"/>
    </row>
    <row r="160" spans="5:21" s="25" customFormat="1" ht="10.199999999999999">
      <c r="F160" s="33"/>
    </row>
    <row r="161" spans="6:6" s="25" customFormat="1" ht="10.199999999999999">
      <c r="F161" s="33"/>
    </row>
    <row r="162" spans="6:6" s="25" customFormat="1" ht="10.199999999999999">
      <c r="F162" s="33"/>
    </row>
    <row r="163" spans="6:6" s="25" customFormat="1" ht="10.199999999999999">
      <c r="F163" s="33"/>
    </row>
    <row r="164" spans="6:6" s="25" customFormat="1" ht="10.199999999999999">
      <c r="F164" s="33"/>
    </row>
    <row r="165" spans="6:6" s="25" customFormat="1" ht="10.199999999999999">
      <c r="F165" s="33"/>
    </row>
    <row r="166" spans="6:6" s="25" customFormat="1" ht="10.199999999999999">
      <c r="F166" s="33"/>
    </row>
    <row r="167" spans="6:6" s="25" customFormat="1" ht="10.199999999999999">
      <c r="F167" s="33"/>
    </row>
    <row r="168" spans="6:6" s="25" customFormat="1" ht="10.199999999999999">
      <c r="F168" s="33"/>
    </row>
    <row r="169" spans="6:6" s="25" customFormat="1" ht="10.199999999999999">
      <c r="F169" s="33"/>
    </row>
    <row r="170" spans="6:6" s="25" customFormat="1" ht="10.199999999999999">
      <c r="F170" s="33"/>
    </row>
    <row r="171" spans="6:6" s="25" customFormat="1" ht="10.199999999999999">
      <c r="F171" s="33"/>
    </row>
    <row r="172" spans="6:6" s="25" customFormat="1" ht="10.199999999999999">
      <c r="F172" s="33"/>
    </row>
    <row r="173" spans="6:6" s="25" customFormat="1" ht="10.199999999999999">
      <c r="F173" s="33"/>
    </row>
    <row r="174" spans="6:6" s="25" customFormat="1" ht="10.199999999999999">
      <c r="F174" s="33"/>
    </row>
    <row r="175" spans="6:6" s="25" customFormat="1" ht="10.199999999999999">
      <c r="F175" s="33"/>
    </row>
    <row r="176" spans="6:6" s="25" customFormat="1" ht="10.199999999999999">
      <c r="F176" s="33"/>
    </row>
    <row r="177" spans="6:6" s="25" customFormat="1" ht="10.199999999999999">
      <c r="F177" s="33"/>
    </row>
    <row r="178" spans="6:6" s="25" customFormat="1" ht="10.199999999999999">
      <c r="F178" s="33"/>
    </row>
    <row r="179" spans="6:6" s="25" customFormat="1" ht="10.199999999999999">
      <c r="F179" s="33"/>
    </row>
    <row r="180" spans="6:6" s="25" customFormat="1" ht="10.199999999999999">
      <c r="F180" s="33"/>
    </row>
    <row r="181" spans="6:6" s="25" customFormat="1" ht="10.199999999999999">
      <c r="F181" s="33"/>
    </row>
    <row r="182" spans="6:6" s="25" customFormat="1" ht="10.199999999999999">
      <c r="F182" s="33"/>
    </row>
    <row r="183" spans="6:6" s="25" customFormat="1" ht="10.199999999999999">
      <c r="F183" s="33"/>
    </row>
    <row r="184" spans="6:6" s="25" customFormat="1" ht="10.199999999999999">
      <c r="F184" s="33"/>
    </row>
    <row r="185" spans="6:6" s="25" customFormat="1" ht="10.199999999999999">
      <c r="F185" s="33"/>
    </row>
    <row r="186" spans="6:6" s="25" customFormat="1" ht="10.199999999999999">
      <c r="F186" s="33"/>
    </row>
    <row r="187" spans="6:6" s="25" customFormat="1" ht="10.199999999999999">
      <c r="F187" s="33"/>
    </row>
    <row r="188" spans="6:6" s="25" customFormat="1" ht="10.199999999999999">
      <c r="F188" s="33"/>
    </row>
    <row r="189" spans="6:6" s="25" customFormat="1" ht="10.199999999999999">
      <c r="F189" s="33"/>
    </row>
    <row r="190" spans="6:6" s="25" customFormat="1" ht="10.199999999999999">
      <c r="F190" s="33"/>
    </row>
    <row r="191" spans="6:6" s="25" customFormat="1" ht="10.199999999999999">
      <c r="F191" s="33"/>
    </row>
    <row r="192" spans="6:6" s="25" customFormat="1" ht="10.199999999999999">
      <c r="F192" s="33"/>
    </row>
    <row r="193" spans="6:6" s="25" customFormat="1" ht="10.199999999999999">
      <c r="F193" s="33"/>
    </row>
    <row r="194" spans="6:6" s="25" customFormat="1" ht="10.199999999999999">
      <c r="F194" s="33"/>
    </row>
    <row r="195" spans="6:6" s="25" customFormat="1" ht="10.199999999999999">
      <c r="F195" s="33"/>
    </row>
    <row r="196" spans="6:6" s="25" customFormat="1" ht="10.199999999999999">
      <c r="F196" s="33"/>
    </row>
    <row r="197" spans="6:6" s="25" customFormat="1" ht="10.199999999999999">
      <c r="F197" s="33"/>
    </row>
    <row r="198" spans="6:6" s="25" customFormat="1" ht="10.199999999999999">
      <c r="F198" s="33"/>
    </row>
    <row r="199" spans="6:6" s="25" customFormat="1" ht="10.199999999999999">
      <c r="F199" s="33"/>
    </row>
    <row r="200" spans="6:6" s="25" customFormat="1" ht="10.199999999999999">
      <c r="F200" s="33"/>
    </row>
    <row r="201" spans="6:6" s="25" customFormat="1" ht="10.199999999999999">
      <c r="F201" s="33"/>
    </row>
    <row r="202" spans="6:6" s="25" customFormat="1" ht="10.199999999999999">
      <c r="F202" s="33"/>
    </row>
    <row r="203" spans="6:6" s="25" customFormat="1" ht="10.199999999999999">
      <c r="F203" s="33"/>
    </row>
    <row r="204" spans="6:6" s="25" customFormat="1" ht="10.199999999999999">
      <c r="F204" s="33"/>
    </row>
    <row r="205" spans="6:6" s="25" customFormat="1" ht="10.199999999999999">
      <c r="F205" s="33"/>
    </row>
    <row r="206" spans="6:6" s="25" customFormat="1" ht="10.199999999999999">
      <c r="F206" s="33"/>
    </row>
    <row r="207" spans="6:6" s="25" customFormat="1" ht="10.199999999999999">
      <c r="F207" s="33"/>
    </row>
    <row r="208" spans="6:6" s="25" customFormat="1" ht="10.199999999999999">
      <c r="F208" s="33"/>
    </row>
    <row r="209" spans="6:6" s="25" customFormat="1" ht="10.199999999999999">
      <c r="F209" s="33"/>
    </row>
    <row r="210" spans="6:6" s="25" customFormat="1" ht="10.199999999999999">
      <c r="F210" s="33"/>
    </row>
    <row r="211" spans="6:6" s="25" customFormat="1" ht="10.199999999999999">
      <c r="F211" s="33"/>
    </row>
    <row r="212" spans="6:6" s="25" customFormat="1" ht="10.199999999999999">
      <c r="F212" s="33"/>
    </row>
    <row r="213" spans="6:6" s="25" customFormat="1" ht="10.199999999999999">
      <c r="F213" s="33"/>
    </row>
    <row r="214" spans="6:6" s="25" customFormat="1" ht="10.199999999999999">
      <c r="F214" s="33"/>
    </row>
    <row r="215" spans="6:6" s="25" customFormat="1" ht="10.199999999999999">
      <c r="F215" s="33"/>
    </row>
    <row r="216" spans="6:6" s="25" customFormat="1" ht="10.199999999999999">
      <c r="F216" s="33"/>
    </row>
    <row r="217" spans="6:6" s="25" customFormat="1" ht="10.199999999999999">
      <c r="F217" s="33"/>
    </row>
    <row r="218" spans="6:6" s="25" customFormat="1" ht="10.199999999999999">
      <c r="F218" s="33"/>
    </row>
    <row r="219" spans="6:6" s="25" customFormat="1" ht="10.199999999999999">
      <c r="F219" s="33"/>
    </row>
    <row r="220" spans="6:6" s="25" customFormat="1" ht="10.199999999999999">
      <c r="F220" s="33"/>
    </row>
    <row r="221" spans="6:6" s="25" customFormat="1" ht="10.199999999999999">
      <c r="F221" s="33"/>
    </row>
    <row r="222" spans="6:6" s="25" customFormat="1" ht="10.199999999999999">
      <c r="F222" s="33"/>
    </row>
    <row r="223" spans="6:6" s="25" customFormat="1" ht="10.199999999999999">
      <c r="F223" s="33"/>
    </row>
    <row r="224" spans="6:6" s="25" customFormat="1" ht="10.199999999999999">
      <c r="F224" s="33"/>
    </row>
    <row r="225" spans="6:6" s="25" customFormat="1" ht="10.199999999999999">
      <c r="F225" s="33"/>
    </row>
    <row r="226" spans="6:6" s="25" customFormat="1" ht="10.199999999999999">
      <c r="F226" s="33"/>
    </row>
    <row r="227" spans="6:6" s="25" customFormat="1" ht="10.199999999999999">
      <c r="F227" s="33"/>
    </row>
    <row r="228" spans="6:6" s="25" customFormat="1" ht="10.199999999999999">
      <c r="F228" s="33"/>
    </row>
    <row r="229" spans="6:6" s="25" customFormat="1" ht="10.199999999999999">
      <c r="F229" s="33"/>
    </row>
    <row r="230" spans="6:6" s="25" customFormat="1" ht="10.199999999999999">
      <c r="F230" s="33"/>
    </row>
    <row r="231" spans="6:6" s="25" customFormat="1" ht="10.199999999999999">
      <c r="F231" s="33"/>
    </row>
    <row r="232" spans="6:6" s="25" customFormat="1" ht="10.199999999999999">
      <c r="F232" s="33"/>
    </row>
    <row r="233" spans="6:6" s="25" customFormat="1" ht="10.199999999999999">
      <c r="F233" s="33"/>
    </row>
    <row r="234" spans="6:6" s="25" customFormat="1" ht="10.199999999999999">
      <c r="F234" s="33"/>
    </row>
    <row r="235" spans="6:6" s="25" customFormat="1" ht="10.199999999999999">
      <c r="F235" s="33"/>
    </row>
    <row r="236" spans="6:6" s="25" customFormat="1" ht="10.199999999999999">
      <c r="F236" s="33"/>
    </row>
    <row r="237" spans="6:6" s="25" customFormat="1" ht="10.199999999999999">
      <c r="F237" s="33"/>
    </row>
    <row r="238" spans="6:6" s="25" customFormat="1" ht="10.199999999999999">
      <c r="F238" s="33"/>
    </row>
    <row r="239" spans="6:6" s="25" customFormat="1" ht="10.199999999999999">
      <c r="F239" s="33"/>
    </row>
    <row r="240" spans="6:6" s="25" customFormat="1" ht="10.199999999999999">
      <c r="F240" s="33"/>
    </row>
    <row r="241" spans="6:6" s="25" customFormat="1" ht="10.199999999999999">
      <c r="F241" s="33"/>
    </row>
    <row r="242" spans="6:6" s="25" customFormat="1" ht="10.199999999999999">
      <c r="F242" s="33"/>
    </row>
    <row r="243" spans="6:6" s="25" customFormat="1" ht="10.199999999999999">
      <c r="F243" s="33"/>
    </row>
    <row r="244" spans="6:6" s="25" customFormat="1" ht="10.199999999999999">
      <c r="F244" s="33"/>
    </row>
    <row r="245" spans="6:6" s="25" customFormat="1" ht="10.199999999999999">
      <c r="F245" s="33"/>
    </row>
    <row r="246" spans="6:6" s="25" customFormat="1" ht="10.199999999999999">
      <c r="F246" s="33"/>
    </row>
    <row r="247" spans="6:6" s="25" customFormat="1" ht="10.199999999999999">
      <c r="F247" s="33"/>
    </row>
    <row r="248" spans="6:6" s="25" customFormat="1" ht="10.199999999999999">
      <c r="F248" s="33"/>
    </row>
    <row r="249" spans="6:6" s="25" customFormat="1" ht="10.199999999999999">
      <c r="F249" s="33"/>
    </row>
    <row r="250" spans="6:6" s="25" customFormat="1" ht="10.199999999999999">
      <c r="F250" s="33"/>
    </row>
    <row r="251" spans="6:6" s="25" customFormat="1" ht="10.199999999999999">
      <c r="F251" s="33"/>
    </row>
    <row r="252" spans="6:6" s="25" customFormat="1" ht="10.199999999999999">
      <c r="F252" s="33"/>
    </row>
    <row r="253" spans="6:6" s="25" customFormat="1" ht="10.199999999999999">
      <c r="F253" s="33"/>
    </row>
    <row r="254" spans="6:6" s="25" customFormat="1" ht="10.199999999999999">
      <c r="F254" s="33"/>
    </row>
    <row r="255" spans="6:6" s="25" customFormat="1" ht="10.199999999999999">
      <c r="F255" s="33"/>
    </row>
    <row r="256" spans="6:6" s="25" customFormat="1" ht="10.199999999999999">
      <c r="F256" s="33"/>
    </row>
    <row r="257" spans="6:6" s="25" customFormat="1" ht="10.199999999999999">
      <c r="F257" s="33"/>
    </row>
    <row r="258" spans="6:6" s="25" customFormat="1" ht="10.199999999999999">
      <c r="F258" s="33"/>
    </row>
    <row r="259" spans="6:6" s="25" customFormat="1" ht="10.199999999999999">
      <c r="F259" s="33"/>
    </row>
    <row r="260" spans="6:6" s="25" customFormat="1" ht="10.199999999999999">
      <c r="F260" s="33"/>
    </row>
    <row r="261" spans="6:6" s="25" customFormat="1" ht="10.199999999999999">
      <c r="F261" s="33"/>
    </row>
    <row r="262" spans="6:6" s="25" customFormat="1" ht="10.199999999999999">
      <c r="F262" s="33"/>
    </row>
    <row r="263" spans="6:6" s="25" customFormat="1" ht="10.199999999999999">
      <c r="F263" s="33"/>
    </row>
    <row r="264" spans="6:6" s="25" customFormat="1" ht="10.199999999999999">
      <c r="F264" s="33"/>
    </row>
    <row r="265" spans="6:6" s="25" customFormat="1" ht="10.199999999999999">
      <c r="F265" s="33"/>
    </row>
    <row r="266" spans="6:6" s="25" customFormat="1" ht="10.199999999999999">
      <c r="F266" s="33"/>
    </row>
    <row r="267" spans="6:6" s="25" customFormat="1" ht="10.199999999999999">
      <c r="F267" s="33"/>
    </row>
    <row r="268" spans="6:6" s="25" customFormat="1" ht="10.199999999999999">
      <c r="F268" s="33"/>
    </row>
    <row r="269" spans="6:6" s="25" customFormat="1" ht="10.199999999999999">
      <c r="F269" s="33"/>
    </row>
    <row r="270" spans="6:6" s="25" customFormat="1" ht="10.199999999999999">
      <c r="F270" s="33"/>
    </row>
    <row r="271" spans="6:6" s="25" customFormat="1" ht="10.199999999999999">
      <c r="F271" s="33"/>
    </row>
    <row r="272" spans="6:6" s="25" customFormat="1" ht="10.199999999999999">
      <c r="F272" s="33"/>
    </row>
    <row r="273" spans="6:6" s="25" customFormat="1" ht="10.199999999999999">
      <c r="F273" s="33"/>
    </row>
    <row r="274" spans="6:6" s="25" customFormat="1" ht="10.199999999999999">
      <c r="F274" s="33"/>
    </row>
    <row r="275" spans="6:6" s="25" customFormat="1" ht="10.199999999999999">
      <c r="F275" s="33"/>
    </row>
    <row r="276" spans="6:6" s="25" customFormat="1" ht="10.199999999999999">
      <c r="F276" s="33"/>
    </row>
    <row r="277" spans="6:6" s="25" customFormat="1" ht="10.199999999999999">
      <c r="F277" s="33"/>
    </row>
    <row r="278" spans="6:6" s="25" customFormat="1" ht="10.199999999999999">
      <c r="F278" s="33"/>
    </row>
    <row r="279" spans="6:6" s="25" customFormat="1" ht="10.199999999999999">
      <c r="F279" s="33"/>
    </row>
    <row r="280" spans="6:6" s="25" customFormat="1" ht="10.199999999999999">
      <c r="F280" s="33"/>
    </row>
    <row r="281" spans="6:6" s="25" customFormat="1" ht="10.199999999999999">
      <c r="F281" s="33"/>
    </row>
    <row r="282" spans="6:6" s="25" customFormat="1" ht="10.199999999999999">
      <c r="F282" s="33"/>
    </row>
    <row r="283" spans="6:6" s="25" customFormat="1" ht="10.199999999999999">
      <c r="F283" s="33"/>
    </row>
    <row r="284" spans="6:6" s="25" customFormat="1" ht="10.199999999999999">
      <c r="F284" s="33"/>
    </row>
    <row r="285" spans="6:6" s="25" customFormat="1" ht="10.199999999999999">
      <c r="F285" s="33"/>
    </row>
    <row r="286" spans="6:6" s="25" customFormat="1" ht="10.199999999999999">
      <c r="F286" s="33"/>
    </row>
    <row r="287" spans="6:6" s="25" customFormat="1" ht="10.199999999999999">
      <c r="F287" s="33"/>
    </row>
    <row r="288" spans="6:6" s="25" customFormat="1" ht="10.199999999999999">
      <c r="F288" s="33"/>
    </row>
    <row r="289" spans="6:6" s="25" customFormat="1" ht="10.199999999999999">
      <c r="F289" s="33"/>
    </row>
    <row r="290" spans="6:6" s="25" customFormat="1" ht="10.199999999999999">
      <c r="F290" s="33"/>
    </row>
    <row r="291" spans="6:6" s="25" customFormat="1" ht="10.199999999999999">
      <c r="F291" s="33"/>
    </row>
    <row r="292" spans="6:6" s="25" customFormat="1" ht="10.199999999999999">
      <c r="F292" s="33"/>
    </row>
    <row r="293" spans="6:6" s="25" customFormat="1" ht="10.199999999999999">
      <c r="F293" s="33"/>
    </row>
    <row r="294" spans="6:6" s="25" customFormat="1" ht="10.199999999999999">
      <c r="F294" s="33"/>
    </row>
    <row r="295" spans="6:6" s="25" customFormat="1" ht="10.199999999999999">
      <c r="F295" s="33"/>
    </row>
    <row r="296" spans="6:6" s="25" customFormat="1" ht="10.199999999999999">
      <c r="F296" s="33"/>
    </row>
  </sheetData>
  <autoFilter ref="A3:AQ99" xr:uid="{00000000-0009-0000-0000-000000000000}"/>
  <mergeCells count="89">
    <mergeCell ref="S153:U153"/>
    <mergeCell ref="I154:L154"/>
    <mergeCell ref="I147:L147"/>
    <mergeCell ref="M147:O147"/>
    <mergeCell ref="P147:R147"/>
    <mergeCell ref="S147:U147"/>
    <mergeCell ref="M154:O154"/>
    <mergeCell ref="P154:R154"/>
    <mergeCell ref="S154:U154"/>
    <mergeCell ref="M150:O150"/>
    <mergeCell ref="S150:U150"/>
    <mergeCell ref="S152:U152"/>
    <mergeCell ref="S151:U151"/>
    <mergeCell ref="S148:U148"/>
    <mergeCell ref="S149:U149"/>
    <mergeCell ref="I151:L151"/>
    <mergeCell ref="M151:O151"/>
    <mergeCell ref="I153:L153"/>
    <mergeCell ref="M153:O153"/>
    <mergeCell ref="I148:L148"/>
    <mergeCell ref="M148:O148"/>
    <mergeCell ref="P148:R148"/>
    <mergeCell ref="I149:L149"/>
    <mergeCell ref="M149:O149"/>
    <mergeCell ref="I157:L157"/>
    <mergeCell ref="M157:O157"/>
    <mergeCell ref="P157:R157"/>
    <mergeCell ref="S157:U157"/>
    <mergeCell ref="I155:L155"/>
    <mergeCell ref="M155:O155"/>
    <mergeCell ref="P155:R155"/>
    <mergeCell ref="S155:U155"/>
    <mergeCell ref="I156:L156"/>
    <mergeCell ref="M156:O156"/>
    <mergeCell ref="P156:R156"/>
    <mergeCell ref="S156:U156"/>
    <mergeCell ref="P149:R149"/>
    <mergeCell ref="I150:L150"/>
    <mergeCell ref="I152:L152"/>
    <mergeCell ref="M152:O152"/>
    <mergeCell ref="P152:R152"/>
    <mergeCell ref="P151:R151"/>
    <mergeCell ref="P150:R150"/>
    <mergeCell ref="P153:R153"/>
    <mergeCell ref="N2:N3"/>
    <mergeCell ref="I139:L139"/>
    <mergeCell ref="I146:L146"/>
    <mergeCell ref="M146:O146"/>
    <mergeCell ref="P146:R146"/>
    <mergeCell ref="S146:U146"/>
    <mergeCell ref="P2:P3"/>
    <mergeCell ref="Q2:Q3"/>
    <mergeCell ref="R2:R3"/>
    <mergeCell ref="O4:O99"/>
    <mergeCell ref="S2:S3"/>
    <mergeCell ref="I140:L140"/>
    <mergeCell ref="M140:O140"/>
    <mergeCell ref="P140:R140"/>
    <mergeCell ref="S140:U140"/>
    <mergeCell ref="S145:U145"/>
    <mergeCell ref="I145:L145"/>
    <mergeCell ref="M145:O145"/>
    <mergeCell ref="P145:R145"/>
    <mergeCell ref="S142:U142"/>
    <mergeCell ref="P142:R142"/>
    <mergeCell ref="I130:I131"/>
    <mergeCell ref="J130:J131"/>
    <mergeCell ref="T2:T3"/>
    <mergeCell ref="K2:K3"/>
    <mergeCell ref="A1:H2"/>
    <mergeCell ref="P143:R143"/>
    <mergeCell ref="S143:U143"/>
    <mergeCell ref="I144:L144"/>
    <mergeCell ref="M144:O144"/>
    <mergeCell ref="P144:R144"/>
    <mergeCell ref="S144:U144"/>
    <mergeCell ref="I143:L143"/>
    <mergeCell ref="M143:O143"/>
    <mergeCell ref="I141:L141"/>
    <mergeCell ref="M141:O141"/>
    <mergeCell ref="P141:R141"/>
    <mergeCell ref="S141:U141"/>
    <mergeCell ref="I142:L142"/>
    <mergeCell ref="M142:O142"/>
    <mergeCell ref="U2:U3"/>
    <mergeCell ref="I2:I3"/>
    <mergeCell ref="J2:J3"/>
    <mergeCell ref="L2:L3"/>
    <mergeCell ref="M2:M3"/>
  </mergeCells>
  <phoneticPr fontId="1" type="noConversion"/>
  <pageMargins left="1.5748031496062993" right="0.70866141732283472" top="0.15748031496062992" bottom="0.15748031496062992" header="0.31496062992125984" footer="0.31496062992125984"/>
  <pageSetup paperSize="9" scale="60" orientation="portrait" horizontalDpi="200" verticalDpi="200" r:id="rId1"/>
  <rowBreaks count="2" manualBreakCount="2">
    <brk id="157" max="21" man="1"/>
    <brk id="158" max="2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106"/>
  <sheetViews>
    <sheetView tabSelected="1" workbookViewId="0">
      <selection activeCell="A78" sqref="A78"/>
    </sheetView>
  </sheetViews>
  <sheetFormatPr defaultColWidth="9" defaultRowHeight="11.4"/>
  <cols>
    <col min="1" max="2" width="4.44140625" style="98" bestFit="1" customWidth="1"/>
    <col min="3" max="5" width="10" style="98" bestFit="1" customWidth="1"/>
    <col min="6" max="13" width="9" style="98"/>
    <col min="14" max="14" width="13.77734375" style="98" customWidth="1"/>
    <col min="15" max="15" width="9.77734375" style="98" customWidth="1"/>
    <col min="16" max="19" width="9.6640625" style="98" customWidth="1"/>
    <col min="20" max="20" width="8.44140625" style="98" customWidth="1"/>
    <col min="21" max="21" width="10.77734375" style="98" customWidth="1"/>
    <col min="22" max="23" width="9.6640625" style="98" customWidth="1"/>
    <col min="24" max="24" width="8.44140625" style="98" customWidth="1"/>
    <col min="25" max="26" width="9.6640625" style="98" customWidth="1"/>
    <col min="27" max="27" width="10.88671875" style="98" customWidth="1"/>
    <col min="28" max="29" width="9.6640625" style="98" customWidth="1"/>
    <col min="30" max="30" width="8.44140625" style="98" customWidth="1"/>
    <col min="31" max="32" width="9.6640625" style="98" customWidth="1"/>
    <col min="33" max="33" width="8.44140625" style="98" customWidth="1"/>
    <col min="34" max="34" width="10.88671875" style="98" customWidth="1"/>
    <col min="35" max="35" width="10.77734375" style="98" customWidth="1"/>
    <col min="36" max="49" width="13.77734375" style="98" bestFit="1" customWidth="1"/>
    <col min="50" max="52" width="19.33203125" style="98" bestFit="1" customWidth="1"/>
    <col min="53" max="70" width="13.77734375" style="98" bestFit="1" customWidth="1"/>
    <col min="71" max="73" width="19.33203125" style="98" bestFit="1" customWidth="1"/>
    <col min="74" max="76" width="18.109375" style="98" bestFit="1" customWidth="1"/>
    <col min="77" max="16384" width="9" style="98"/>
  </cols>
  <sheetData>
    <row r="1" spans="3:6" ht="12" thickBot="1"/>
    <row r="2" spans="3:6" ht="12.6" thickBot="1">
      <c r="C2" s="112" t="s">
        <v>199</v>
      </c>
      <c r="D2" s="110">
        <v>2013</v>
      </c>
      <c r="E2" s="110">
        <v>2014</v>
      </c>
      <c r="F2" s="111">
        <v>2015</v>
      </c>
    </row>
    <row r="3" spans="3:6" ht="13.2">
      <c r="C3" s="106" t="s">
        <v>105</v>
      </c>
      <c r="D3" s="34">
        <v>19888755</v>
      </c>
      <c r="E3" s="34">
        <v>19702709</v>
      </c>
      <c r="F3" s="35">
        <v>19593646</v>
      </c>
    </row>
    <row r="4" spans="3:6" ht="13.2">
      <c r="C4" s="107" t="s">
        <v>195</v>
      </c>
      <c r="D4" s="33">
        <v>10874333</v>
      </c>
      <c r="E4" s="33">
        <v>12077438</v>
      </c>
      <c r="F4" s="36">
        <v>12732160</v>
      </c>
    </row>
    <row r="5" spans="3:6" ht="13.2">
      <c r="C5" s="107" t="s">
        <v>196</v>
      </c>
      <c r="D5" s="33">
        <v>12963801</v>
      </c>
      <c r="E5" s="33">
        <v>13914942</v>
      </c>
      <c r="F5" s="36">
        <v>13870458</v>
      </c>
    </row>
    <row r="6" spans="3:6" ht="13.2">
      <c r="C6" s="107" t="s">
        <v>197</v>
      </c>
      <c r="D6" s="33">
        <v>9346008</v>
      </c>
      <c r="E6" s="33">
        <v>11377841</v>
      </c>
      <c r="F6" s="36">
        <v>11954360</v>
      </c>
    </row>
    <row r="7" spans="3:6" ht="13.8" thickBot="1">
      <c r="C7" s="108" t="s">
        <v>198</v>
      </c>
      <c r="D7" s="37">
        <v>9540348</v>
      </c>
      <c r="E7" s="37">
        <v>9932340</v>
      </c>
      <c r="F7" s="38">
        <v>10214360</v>
      </c>
    </row>
    <row r="33" spans="1:76" ht="14.4">
      <c r="N33"/>
      <c r="O33"/>
    </row>
    <row r="34" spans="1:76" ht="15" thickBot="1">
      <c r="N34" s="180" t="s">
        <v>332</v>
      </c>
      <c r="O34" t="s">
        <v>331</v>
      </c>
    </row>
    <row r="35" spans="1:76" ht="15" thickBot="1">
      <c r="A35" s="189" t="s">
        <v>323</v>
      </c>
      <c r="B35" s="199" t="s">
        <v>335</v>
      </c>
      <c r="C35" s="190">
        <v>2013</v>
      </c>
      <c r="D35" s="191">
        <v>2014</v>
      </c>
      <c r="E35" s="192">
        <v>2015</v>
      </c>
      <c r="N35" s="180" t="s">
        <v>333</v>
      </c>
      <c r="O35" t="s">
        <v>331</v>
      </c>
    </row>
    <row r="36" spans="1:76" ht="12" thickBot="1">
      <c r="A36" s="171" t="s">
        <v>230</v>
      </c>
      <c r="B36" s="188" t="s">
        <v>167</v>
      </c>
      <c r="C36" s="193">
        <v>19888755</v>
      </c>
      <c r="D36" s="193">
        <v>19702709</v>
      </c>
      <c r="E36" s="194">
        <v>19593646</v>
      </c>
      <c r="H36" s="169"/>
      <c r="I36" s="172"/>
      <c r="J36" s="170"/>
      <c r="K36" s="170"/>
      <c r="L36" s="170"/>
    </row>
    <row r="37" spans="1:76" ht="15" thickBot="1">
      <c r="A37" s="162" t="s">
        <v>230</v>
      </c>
      <c r="B37" s="158" t="s">
        <v>319</v>
      </c>
      <c r="C37" s="195">
        <v>3560213</v>
      </c>
      <c r="D37" s="195">
        <v>3083361</v>
      </c>
      <c r="E37" s="196">
        <v>2959334</v>
      </c>
      <c r="H37" s="161" t="s">
        <v>323</v>
      </c>
      <c r="I37" s="161" t="s">
        <v>324</v>
      </c>
      <c r="J37" s="173">
        <v>2013</v>
      </c>
      <c r="K37" s="173">
        <v>2014</v>
      </c>
      <c r="L37" s="174">
        <v>2015</v>
      </c>
      <c r="N37" s="180" t="s">
        <v>325</v>
      </c>
      <c r="O37" s="180" t="s">
        <v>330</v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</row>
    <row r="38" spans="1:76" ht="14.4">
      <c r="A38" s="162" t="s">
        <v>230</v>
      </c>
      <c r="B38" s="158" t="s">
        <v>320</v>
      </c>
      <c r="C38" s="195">
        <v>12963801</v>
      </c>
      <c r="D38" s="195">
        <v>13914942</v>
      </c>
      <c r="E38" s="196">
        <v>13870458</v>
      </c>
      <c r="H38" s="161" t="s">
        <v>230</v>
      </c>
      <c r="I38" s="161" t="s">
        <v>319</v>
      </c>
      <c r="J38" s="173">
        <v>3560213</v>
      </c>
      <c r="K38" s="173">
        <v>3083361</v>
      </c>
      <c r="L38" s="174">
        <v>2959334</v>
      </c>
      <c r="N38" s="180" t="s">
        <v>328</v>
      </c>
      <c r="O38" t="s">
        <v>313</v>
      </c>
      <c r="P38" t="s">
        <v>316</v>
      </c>
      <c r="Q38" t="s">
        <v>314</v>
      </c>
      <c r="R38" t="s">
        <v>312</v>
      </c>
      <c r="S38" t="s">
        <v>315</v>
      </c>
      <c r="T38" t="s">
        <v>317</v>
      </c>
      <c r="U38" t="s">
        <v>329</v>
      </c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</row>
    <row r="39" spans="1:76" ht="14.4">
      <c r="A39" s="162" t="s">
        <v>230</v>
      </c>
      <c r="B39" s="158" t="s">
        <v>321</v>
      </c>
      <c r="C39" s="195">
        <v>2522706</v>
      </c>
      <c r="D39" s="195">
        <v>2946564</v>
      </c>
      <c r="E39" s="196">
        <v>2724334</v>
      </c>
      <c r="H39" s="162" t="s">
        <v>230</v>
      </c>
      <c r="I39" s="162" t="s">
        <v>321</v>
      </c>
      <c r="J39" s="175">
        <v>2522706</v>
      </c>
      <c r="K39" s="175">
        <v>2946564</v>
      </c>
      <c r="L39" s="176">
        <v>2724334</v>
      </c>
      <c r="N39" s="181" t="s">
        <v>318</v>
      </c>
      <c r="O39" s="179">
        <v>3540635</v>
      </c>
      <c r="P39" s="179">
        <v>1076700</v>
      </c>
      <c r="Q39" s="179">
        <v>918985</v>
      </c>
      <c r="R39" s="179">
        <v>3560213</v>
      </c>
      <c r="S39" s="179">
        <v>1599978</v>
      </c>
      <c r="T39" s="179">
        <v>210000</v>
      </c>
      <c r="U39" s="179">
        <v>10906511</v>
      </c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</row>
    <row r="40" spans="1:76" ht="14.4">
      <c r="A40" s="162" t="s">
        <v>230</v>
      </c>
      <c r="B40" s="158" t="s">
        <v>322</v>
      </c>
      <c r="C40" s="195">
        <v>3544916</v>
      </c>
      <c r="D40" s="195">
        <v>2948564</v>
      </c>
      <c r="E40" s="196">
        <v>2724334</v>
      </c>
      <c r="H40" s="162" t="s">
        <v>230</v>
      </c>
      <c r="I40" s="162" t="s">
        <v>322</v>
      </c>
      <c r="J40" s="175">
        <v>3544916</v>
      </c>
      <c r="K40" s="175">
        <v>2948564</v>
      </c>
      <c r="L40" s="176">
        <v>2724334</v>
      </c>
      <c r="N40" s="181" t="s">
        <v>198</v>
      </c>
      <c r="O40" s="179">
        <v>3210635</v>
      </c>
      <c r="P40" s="179">
        <v>1076700</v>
      </c>
      <c r="Q40" s="179">
        <v>288667</v>
      </c>
      <c r="R40" s="179">
        <v>3544916</v>
      </c>
      <c r="S40" s="179">
        <v>1241608</v>
      </c>
      <c r="T40" s="179"/>
      <c r="U40" s="179">
        <v>9362526</v>
      </c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</row>
    <row r="41" spans="1:76" ht="14.4">
      <c r="A41" s="163" t="s">
        <v>232</v>
      </c>
      <c r="B41" s="182" t="s">
        <v>319</v>
      </c>
      <c r="C41" s="195">
        <v>3540635</v>
      </c>
      <c r="D41" s="195">
        <v>3032600</v>
      </c>
      <c r="E41" s="196">
        <v>3172600</v>
      </c>
      <c r="H41" s="163" t="s">
        <v>232</v>
      </c>
      <c r="I41" s="163" t="s">
        <v>319</v>
      </c>
      <c r="J41" s="175">
        <v>3540635</v>
      </c>
      <c r="K41" s="175">
        <v>3032600</v>
      </c>
      <c r="L41" s="176">
        <v>3172600</v>
      </c>
      <c r="N41" s="181" t="s">
        <v>197</v>
      </c>
      <c r="O41" s="179">
        <v>3210635</v>
      </c>
      <c r="P41" s="179">
        <v>1076700</v>
      </c>
      <c r="Q41" s="179">
        <v>798985</v>
      </c>
      <c r="R41" s="179">
        <v>2522706</v>
      </c>
      <c r="S41" s="179">
        <v>1559160</v>
      </c>
      <c r="T41" s="179">
        <v>210000</v>
      </c>
      <c r="U41" s="179">
        <v>9378186</v>
      </c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</row>
    <row r="42" spans="1:76" ht="14.4">
      <c r="A42" s="163" t="s">
        <v>232</v>
      </c>
      <c r="B42" s="182" t="s">
        <v>322</v>
      </c>
      <c r="C42" s="195">
        <v>3210635</v>
      </c>
      <c r="D42" s="195">
        <v>2952600</v>
      </c>
      <c r="E42" s="196">
        <v>3092600</v>
      </c>
      <c r="H42" s="163" t="s">
        <v>232</v>
      </c>
      <c r="I42" s="163" t="s">
        <v>322</v>
      </c>
      <c r="J42" s="175">
        <v>3210635</v>
      </c>
      <c r="K42" s="175">
        <v>2952600</v>
      </c>
      <c r="L42" s="176">
        <v>3092600</v>
      </c>
      <c r="N42" s="181" t="s">
        <v>329</v>
      </c>
      <c r="O42" s="179">
        <v>9961905</v>
      </c>
      <c r="P42" s="179">
        <v>3230100</v>
      </c>
      <c r="Q42" s="179">
        <v>2006637</v>
      </c>
      <c r="R42" s="179">
        <v>9627835</v>
      </c>
      <c r="S42" s="179">
        <v>4400746</v>
      </c>
      <c r="T42" s="179">
        <v>420000</v>
      </c>
      <c r="U42" s="179">
        <v>29647223</v>
      </c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</row>
    <row r="43" spans="1:76" ht="14.4">
      <c r="A43" s="163" t="s">
        <v>232</v>
      </c>
      <c r="B43" s="182" t="s">
        <v>321</v>
      </c>
      <c r="C43" s="195">
        <v>3210635</v>
      </c>
      <c r="D43" s="195">
        <v>2952600</v>
      </c>
      <c r="E43" s="196">
        <v>3092600</v>
      </c>
      <c r="H43" s="163" t="s">
        <v>232</v>
      </c>
      <c r="I43" s="163" t="s">
        <v>321</v>
      </c>
      <c r="J43" s="175">
        <v>3210635</v>
      </c>
      <c r="K43" s="175">
        <v>2952600</v>
      </c>
      <c r="L43" s="176">
        <v>3092600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</row>
    <row r="44" spans="1:76" ht="14.4">
      <c r="A44" s="164" t="s">
        <v>233</v>
      </c>
      <c r="B44" s="183" t="s">
        <v>319</v>
      </c>
      <c r="C44" s="195">
        <v>918985</v>
      </c>
      <c r="D44" s="195">
        <v>2383800</v>
      </c>
      <c r="E44" s="196">
        <v>2695800</v>
      </c>
      <c r="H44" s="164" t="s">
        <v>233</v>
      </c>
      <c r="I44" s="164" t="s">
        <v>319</v>
      </c>
      <c r="J44" s="175">
        <v>918985</v>
      </c>
      <c r="K44" s="175">
        <v>2383800</v>
      </c>
      <c r="L44" s="176">
        <v>2695800</v>
      </c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76" ht="14.4">
      <c r="A45" s="164" t="s">
        <v>233</v>
      </c>
      <c r="B45" s="183" t="s">
        <v>322</v>
      </c>
      <c r="C45" s="195">
        <v>288667</v>
      </c>
      <c r="D45" s="195">
        <v>1271000</v>
      </c>
      <c r="E45" s="196">
        <v>1583000</v>
      </c>
      <c r="H45" s="164" t="s">
        <v>233</v>
      </c>
      <c r="I45" s="164" t="s">
        <v>322</v>
      </c>
      <c r="J45" s="175">
        <v>288667</v>
      </c>
      <c r="K45" s="175">
        <v>1271000</v>
      </c>
      <c r="L45" s="176">
        <v>1583000</v>
      </c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76" ht="14.4">
      <c r="A46" s="164" t="s">
        <v>233</v>
      </c>
      <c r="B46" s="183" t="s">
        <v>321</v>
      </c>
      <c r="C46" s="195">
        <v>798985</v>
      </c>
      <c r="D46" s="195">
        <v>2101000</v>
      </c>
      <c r="E46" s="196">
        <v>2413000</v>
      </c>
      <c r="H46" s="164" t="s">
        <v>233</v>
      </c>
      <c r="I46" s="164" t="s">
        <v>321</v>
      </c>
      <c r="J46" s="175">
        <v>798985</v>
      </c>
      <c r="K46" s="175">
        <v>2101000</v>
      </c>
      <c r="L46" s="176">
        <v>2413000</v>
      </c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76" ht="14.4">
      <c r="A47" s="165" t="s">
        <v>235</v>
      </c>
      <c r="B47" s="184" t="s">
        <v>319</v>
      </c>
      <c r="C47" s="195">
        <v>1599978</v>
      </c>
      <c r="D47" s="195">
        <v>2363927</v>
      </c>
      <c r="E47" s="196">
        <v>2616426</v>
      </c>
      <c r="H47" s="165" t="s">
        <v>235</v>
      </c>
      <c r="I47" s="165" t="s">
        <v>319</v>
      </c>
      <c r="J47" s="175">
        <v>1599978</v>
      </c>
      <c r="K47" s="175">
        <v>2363927</v>
      </c>
      <c r="L47" s="176">
        <v>2616426</v>
      </c>
      <c r="N47"/>
      <c r="O47"/>
      <c r="P47"/>
      <c r="Q47"/>
      <c r="R47"/>
    </row>
    <row r="48" spans="1:76" ht="14.4">
      <c r="A48" s="165" t="s">
        <v>235</v>
      </c>
      <c r="B48" s="184" t="s">
        <v>322</v>
      </c>
      <c r="C48" s="195">
        <v>1241608</v>
      </c>
      <c r="D48" s="195">
        <v>1546426</v>
      </c>
      <c r="E48" s="196">
        <v>1526426</v>
      </c>
      <c r="H48" s="165" t="s">
        <v>235</v>
      </c>
      <c r="I48" s="165" t="s">
        <v>322</v>
      </c>
      <c r="J48" s="175">
        <v>1241608</v>
      </c>
      <c r="K48" s="175">
        <v>1546426</v>
      </c>
      <c r="L48" s="176">
        <v>1526426</v>
      </c>
      <c r="N48"/>
      <c r="O48"/>
      <c r="P48"/>
      <c r="Q48"/>
      <c r="R48"/>
    </row>
    <row r="49" spans="1:18" ht="14.4">
      <c r="A49" s="165" t="s">
        <v>235</v>
      </c>
      <c r="B49" s="184" t="s">
        <v>321</v>
      </c>
      <c r="C49" s="195">
        <v>1559160</v>
      </c>
      <c r="D49" s="195">
        <v>2163927</v>
      </c>
      <c r="E49" s="196">
        <v>2436426</v>
      </c>
      <c r="H49" s="165" t="s">
        <v>235</v>
      </c>
      <c r="I49" s="165" t="s">
        <v>321</v>
      </c>
      <c r="J49" s="175">
        <v>1559160</v>
      </c>
      <c r="K49" s="175">
        <v>2163927</v>
      </c>
      <c r="L49" s="176">
        <v>2436426</v>
      </c>
      <c r="N49"/>
      <c r="O49"/>
      <c r="P49"/>
      <c r="Q49"/>
      <c r="R49"/>
    </row>
    <row r="50" spans="1:18" ht="14.4">
      <c r="A50" s="166" t="s">
        <v>234</v>
      </c>
      <c r="B50" s="185" t="s">
        <v>319</v>
      </c>
      <c r="C50" s="195">
        <v>1076700</v>
      </c>
      <c r="D50" s="195">
        <v>996550</v>
      </c>
      <c r="E50" s="196">
        <v>1070800</v>
      </c>
      <c r="H50" s="166" t="s">
        <v>234</v>
      </c>
      <c r="I50" s="166" t="s">
        <v>319</v>
      </c>
      <c r="J50" s="175">
        <v>1076700</v>
      </c>
      <c r="K50" s="175">
        <v>996550</v>
      </c>
      <c r="L50" s="176">
        <v>1070800</v>
      </c>
      <c r="N50"/>
      <c r="O50"/>
      <c r="P50"/>
      <c r="Q50"/>
      <c r="R50"/>
    </row>
    <row r="51" spans="1:18" ht="14.4">
      <c r="A51" s="166" t="s">
        <v>234</v>
      </c>
      <c r="B51" s="185" t="s">
        <v>322</v>
      </c>
      <c r="C51" s="195">
        <v>1076700</v>
      </c>
      <c r="D51" s="195">
        <v>996550</v>
      </c>
      <c r="E51" s="196">
        <v>1070800</v>
      </c>
      <c r="H51" s="166" t="s">
        <v>234</v>
      </c>
      <c r="I51" s="166" t="s">
        <v>322</v>
      </c>
      <c r="J51" s="175">
        <v>1076700</v>
      </c>
      <c r="K51" s="175">
        <v>996550</v>
      </c>
      <c r="L51" s="176">
        <v>1070800</v>
      </c>
      <c r="N51"/>
      <c r="O51"/>
      <c r="P51"/>
      <c r="Q51"/>
      <c r="R51"/>
    </row>
    <row r="52" spans="1:18" ht="14.4">
      <c r="A52" s="166" t="s">
        <v>234</v>
      </c>
      <c r="B52" s="185" t="s">
        <v>321</v>
      </c>
      <c r="C52" s="195">
        <v>1076700</v>
      </c>
      <c r="D52" s="195">
        <v>996550</v>
      </c>
      <c r="E52" s="196">
        <v>1070800</v>
      </c>
      <c r="H52" s="166" t="s">
        <v>234</v>
      </c>
      <c r="I52" s="166" t="s">
        <v>321</v>
      </c>
      <c r="J52" s="175">
        <v>1076700</v>
      </c>
      <c r="K52" s="175">
        <v>996550</v>
      </c>
      <c r="L52" s="176">
        <v>1070800</v>
      </c>
      <c r="N52"/>
      <c r="O52"/>
      <c r="P52"/>
      <c r="Q52"/>
      <c r="R52"/>
    </row>
    <row r="53" spans="1:18" ht="14.4">
      <c r="A53" s="167" t="s">
        <v>236</v>
      </c>
      <c r="B53" s="186" t="s">
        <v>319</v>
      </c>
      <c r="C53" s="195">
        <v>210000</v>
      </c>
      <c r="D53" s="195">
        <v>250000</v>
      </c>
      <c r="E53" s="196">
        <v>250000</v>
      </c>
      <c r="H53" s="167" t="s">
        <v>236</v>
      </c>
      <c r="I53" s="167" t="s">
        <v>319</v>
      </c>
      <c r="J53" s="175">
        <v>210000</v>
      </c>
      <c r="K53" s="175">
        <v>250000</v>
      </c>
      <c r="L53" s="176">
        <v>250000</v>
      </c>
      <c r="N53"/>
      <c r="O53"/>
      <c r="P53"/>
      <c r="Q53"/>
      <c r="R53"/>
    </row>
    <row r="54" spans="1:18" ht="15" thickBot="1">
      <c r="A54" s="168" t="s">
        <v>236</v>
      </c>
      <c r="B54" s="187" t="s">
        <v>321</v>
      </c>
      <c r="C54" s="197">
        <v>210000</v>
      </c>
      <c r="D54" s="197">
        <v>250000</v>
      </c>
      <c r="E54" s="198">
        <v>250000</v>
      </c>
      <c r="H54" s="168" t="s">
        <v>236</v>
      </c>
      <c r="I54" s="168" t="s">
        <v>321</v>
      </c>
      <c r="J54" s="177">
        <v>210000</v>
      </c>
      <c r="K54" s="177">
        <v>250000</v>
      </c>
      <c r="L54" s="178">
        <v>250000</v>
      </c>
      <c r="N54"/>
      <c r="O54"/>
      <c r="P54"/>
      <c r="Q54"/>
      <c r="R54"/>
    </row>
    <row r="55" spans="1:18" ht="14.4">
      <c r="N55"/>
      <c r="O55"/>
      <c r="P55"/>
      <c r="Q55"/>
      <c r="R55"/>
    </row>
    <row r="56" spans="1:18" ht="14.4">
      <c r="N56"/>
      <c r="O56"/>
      <c r="P56"/>
      <c r="Q56"/>
      <c r="R56"/>
    </row>
    <row r="57" spans="1:18" ht="14.4">
      <c r="N57"/>
      <c r="O57"/>
      <c r="P57"/>
      <c r="Q57"/>
      <c r="R57"/>
    </row>
    <row r="58" spans="1:18" ht="14.4">
      <c r="N58"/>
      <c r="O58"/>
      <c r="P58"/>
      <c r="Q58"/>
      <c r="R58"/>
    </row>
    <row r="59" spans="1:18" ht="14.4">
      <c r="N59"/>
      <c r="O59"/>
      <c r="P59"/>
      <c r="Q59"/>
      <c r="R59"/>
    </row>
    <row r="60" spans="1:18" ht="14.4">
      <c r="N60"/>
      <c r="O60"/>
      <c r="P60"/>
      <c r="Q60"/>
      <c r="R60"/>
    </row>
    <row r="61" spans="1:18" ht="14.4">
      <c r="N61"/>
      <c r="O61"/>
      <c r="P61"/>
      <c r="Q61"/>
      <c r="R61"/>
    </row>
    <row r="62" spans="1:18" ht="14.4">
      <c r="N62"/>
      <c r="O62"/>
      <c r="P62"/>
      <c r="Q62"/>
      <c r="R62"/>
    </row>
    <row r="63" spans="1:18" ht="14.4">
      <c r="N63"/>
      <c r="O63"/>
      <c r="P63"/>
      <c r="Q63"/>
      <c r="R63"/>
    </row>
    <row r="64" spans="1:18" ht="14.4">
      <c r="N64"/>
      <c r="O64"/>
      <c r="P64"/>
      <c r="Q64"/>
      <c r="R64"/>
    </row>
    <row r="65" spans="14:21" ht="14.4">
      <c r="N65"/>
      <c r="O65"/>
      <c r="P65"/>
      <c r="Q65"/>
      <c r="R65"/>
    </row>
    <row r="66" spans="14:21" ht="14.4">
      <c r="N66" s="180" t="s">
        <v>333</v>
      </c>
      <c r="O66" t="s">
        <v>331</v>
      </c>
    </row>
    <row r="67" spans="14:21" ht="14.4">
      <c r="N67" s="180" t="s">
        <v>334</v>
      </c>
      <c r="O67" t="s">
        <v>331</v>
      </c>
    </row>
    <row r="69" spans="14:21" ht="14.4">
      <c r="N69" s="180" t="s">
        <v>326</v>
      </c>
      <c r="O69" s="180" t="s">
        <v>330</v>
      </c>
      <c r="P69"/>
      <c r="Q69"/>
      <c r="R69"/>
      <c r="S69"/>
      <c r="T69"/>
      <c r="U69"/>
    </row>
    <row r="70" spans="14:21" ht="14.4">
      <c r="N70" s="180" t="s">
        <v>328</v>
      </c>
      <c r="O70" t="s">
        <v>313</v>
      </c>
      <c r="P70" t="s">
        <v>316</v>
      </c>
      <c r="Q70" t="s">
        <v>314</v>
      </c>
      <c r="R70" t="s">
        <v>312</v>
      </c>
      <c r="S70" t="s">
        <v>315</v>
      </c>
      <c r="T70" t="s">
        <v>317</v>
      </c>
      <c r="U70" t="s">
        <v>329</v>
      </c>
    </row>
    <row r="71" spans="14:21" ht="14.4">
      <c r="N71" s="181" t="s">
        <v>318</v>
      </c>
      <c r="O71" s="179">
        <v>3032600</v>
      </c>
      <c r="P71" s="179">
        <v>996550</v>
      </c>
      <c r="Q71" s="179">
        <v>2383800</v>
      </c>
      <c r="R71" s="179">
        <v>3083361</v>
      </c>
      <c r="S71" s="179">
        <v>2363927</v>
      </c>
      <c r="T71" s="179">
        <v>250000</v>
      </c>
      <c r="U71" s="179">
        <v>12110238</v>
      </c>
    </row>
    <row r="72" spans="14:21" ht="14.4">
      <c r="N72" s="181" t="s">
        <v>198</v>
      </c>
      <c r="O72" s="179">
        <v>2952600</v>
      </c>
      <c r="P72" s="179">
        <v>996550</v>
      </c>
      <c r="Q72" s="179">
        <v>1271000</v>
      </c>
      <c r="R72" s="179">
        <v>2948564</v>
      </c>
      <c r="S72" s="179">
        <v>1546426</v>
      </c>
      <c r="T72" s="179"/>
      <c r="U72" s="179">
        <v>9715140</v>
      </c>
    </row>
    <row r="73" spans="14:21" ht="14.4">
      <c r="N73" s="181" t="s">
        <v>197</v>
      </c>
      <c r="O73" s="179">
        <v>2952600</v>
      </c>
      <c r="P73" s="179">
        <v>996550</v>
      </c>
      <c r="Q73" s="179">
        <v>2101000</v>
      </c>
      <c r="R73" s="179">
        <v>2946564</v>
      </c>
      <c r="S73" s="179">
        <v>2163927</v>
      </c>
      <c r="T73" s="179">
        <v>250000</v>
      </c>
      <c r="U73" s="179">
        <v>11410641</v>
      </c>
    </row>
    <row r="74" spans="14:21" ht="14.4">
      <c r="N74" s="181" t="s">
        <v>329</v>
      </c>
      <c r="O74" s="179">
        <v>8937800</v>
      </c>
      <c r="P74" s="179">
        <v>2989650</v>
      </c>
      <c r="Q74" s="179">
        <v>5755800</v>
      </c>
      <c r="R74" s="179">
        <v>8978489</v>
      </c>
      <c r="S74" s="179">
        <v>6074280</v>
      </c>
      <c r="T74" s="179">
        <v>500000</v>
      </c>
      <c r="U74" s="179">
        <v>33236019</v>
      </c>
    </row>
    <row r="97" spans="14:21" ht="14.4">
      <c r="N97"/>
      <c r="O97"/>
    </row>
    <row r="98" spans="14:21" ht="14.4">
      <c r="N98" s="180" t="s">
        <v>334</v>
      </c>
      <c r="O98" t="s">
        <v>331</v>
      </c>
    </row>
    <row r="99" spans="14:21" ht="14.4">
      <c r="N99" s="180" t="s">
        <v>332</v>
      </c>
      <c r="O99" t="s">
        <v>331</v>
      </c>
    </row>
    <row r="101" spans="14:21" ht="14.4">
      <c r="N101" s="180" t="s">
        <v>327</v>
      </c>
      <c r="O101" s="180" t="s">
        <v>330</v>
      </c>
      <c r="P101"/>
      <c r="Q101"/>
      <c r="R101"/>
      <c r="S101"/>
      <c r="T101"/>
      <c r="U101"/>
    </row>
    <row r="102" spans="14:21" ht="14.4">
      <c r="N102" s="180" t="s">
        <v>328</v>
      </c>
      <c r="O102" t="s">
        <v>313</v>
      </c>
      <c r="P102" t="s">
        <v>316</v>
      </c>
      <c r="Q102" t="s">
        <v>314</v>
      </c>
      <c r="R102" t="s">
        <v>312</v>
      </c>
      <c r="S102" t="s">
        <v>315</v>
      </c>
      <c r="T102" t="s">
        <v>317</v>
      </c>
      <c r="U102" t="s">
        <v>329</v>
      </c>
    </row>
    <row r="103" spans="14:21" ht="14.4">
      <c r="N103" s="181" t="s">
        <v>318</v>
      </c>
      <c r="O103" s="179">
        <v>3172600</v>
      </c>
      <c r="P103" s="179">
        <v>1070800</v>
      </c>
      <c r="Q103" s="179">
        <v>2695800</v>
      </c>
      <c r="R103" s="179">
        <v>2959334</v>
      </c>
      <c r="S103" s="179">
        <v>2616426</v>
      </c>
      <c r="T103" s="179">
        <v>250000</v>
      </c>
      <c r="U103" s="179">
        <v>12764960</v>
      </c>
    </row>
    <row r="104" spans="14:21" ht="14.4">
      <c r="N104" s="181" t="s">
        <v>198</v>
      </c>
      <c r="O104" s="179">
        <v>3092600</v>
      </c>
      <c r="P104" s="179">
        <v>1070800</v>
      </c>
      <c r="Q104" s="179">
        <v>1583000</v>
      </c>
      <c r="R104" s="179">
        <v>2724334</v>
      </c>
      <c r="S104" s="179">
        <v>1526426</v>
      </c>
      <c r="T104" s="179"/>
      <c r="U104" s="179">
        <v>9997160</v>
      </c>
    </row>
    <row r="105" spans="14:21" ht="14.4">
      <c r="N105" s="181" t="s">
        <v>197</v>
      </c>
      <c r="O105" s="179">
        <v>3092600</v>
      </c>
      <c r="P105" s="179">
        <v>1070800</v>
      </c>
      <c r="Q105" s="179">
        <v>2413000</v>
      </c>
      <c r="R105" s="179">
        <v>2724334</v>
      </c>
      <c r="S105" s="179">
        <v>2436426</v>
      </c>
      <c r="T105" s="179">
        <v>250000</v>
      </c>
      <c r="U105" s="179">
        <v>11987160</v>
      </c>
    </row>
    <row r="106" spans="14:21" ht="14.4">
      <c r="N106" s="181" t="s">
        <v>329</v>
      </c>
      <c r="O106" s="179">
        <v>9357800</v>
      </c>
      <c r="P106" s="179">
        <v>3212400</v>
      </c>
      <c r="Q106" s="179">
        <v>6691800</v>
      </c>
      <c r="R106" s="179">
        <v>8408002</v>
      </c>
      <c r="S106" s="179">
        <v>6579278</v>
      </c>
      <c r="T106" s="179">
        <v>500000</v>
      </c>
      <c r="U106" s="179">
        <v>34749280</v>
      </c>
    </row>
  </sheetData>
  <phoneticPr fontId="1" type="noConversion"/>
  <pageMargins left="0.7" right="0.7" top="0.75" bottom="0.75" header="0.3" footer="0.3"/>
  <pageSetup paperSize="9" orientation="portrait" verticalDpi="0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125"/>
  <sheetViews>
    <sheetView workbookViewId="0">
      <selection activeCell="C28" sqref="C28"/>
    </sheetView>
  </sheetViews>
  <sheetFormatPr defaultRowHeight="14.4"/>
  <cols>
    <col min="4" max="4" width="10.33203125" customWidth="1"/>
  </cols>
  <sheetData>
    <row r="1" spans="2:19" ht="15" thickBot="1"/>
    <row r="2" spans="2:19">
      <c r="B2" s="113" t="s">
        <v>210</v>
      </c>
      <c r="C2" s="114">
        <v>2013</v>
      </c>
      <c r="D2" s="114">
        <v>2014</v>
      </c>
      <c r="E2" s="115">
        <v>2015</v>
      </c>
    </row>
    <row r="3" spans="2:19">
      <c r="B3" s="116" t="s">
        <v>205</v>
      </c>
      <c r="C3" s="117">
        <v>18723840</v>
      </c>
      <c r="D3" s="117">
        <v>17619109</v>
      </c>
      <c r="E3" s="118">
        <v>13276584</v>
      </c>
      <c r="S3" t="s">
        <v>200</v>
      </c>
    </row>
    <row r="4" spans="2:19">
      <c r="B4" s="116" t="s">
        <v>206</v>
      </c>
      <c r="C4" s="117">
        <v>3281584</v>
      </c>
      <c r="D4" s="117">
        <v>2770061</v>
      </c>
      <c r="E4" s="118">
        <v>2648034</v>
      </c>
      <c r="S4" t="s">
        <v>201</v>
      </c>
    </row>
    <row r="5" spans="2:19">
      <c r="B5" s="116" t="s">
        <v>207</v>
      </c>
      <c r="C5" s="117">
        <v>12618801</v>
      </c>
      <c r="D5" s="117">
        <v>13358942</v>
      </c>
      <c r="E5" s="118">
        <v>13314458</v>
      </c>
      <c r="S5" t="s">
        <v>202</v>
      </c>
    </row>
    <row r="6" spans="2:19">
      <c r="B6" s="116" t="s">
        <v>208</v>
      </c>
      <c r="C6" s="117">
        <v>2246302</v>
      </c>
      <c r="D6" s="117">
        <v>2635264</v>
      </c>
      <c r="E6" s="118">
        <v>2413034</v>
      </c>
      <c r="S6" t="s">
        <v>203</v>
      </c>
    </row>
    <row r="7" spans="2:19" ht="15" thickBot="1">
      <c r="B7" s="119" t="s">
        <v>209</v>
      </c>
      <c r="C7" s="120">
        <v>3266287</v>
      </c>
      <c r="D7" s="120">
        <v>2635264</v>
      </c>
      <c r="E7" s="121">
        <v>2413034</v>
      </c>
      <c r="S7" t="s">
        <v>204</v>
      </c>
    </row>
    <row r="26" spans="2:9" ht="15" thickBot="1"/>
    <row r="27" spans="2:9" ht="15" thickBot="1">
      <c r="B27" s="41" t="s">
        <v>122</v>
      </c>
      <c r="C27" s="92" t="s">
        <v>123</v>
      </c>
      <c r="D27" s="92" t="s">
        <v>125</v>
      </c>
      <c r="E27" s="92" t="s">
        <v>229</v>
      </c>
      <c r="F27" s="92" t="s">
        <v>124</v>
      </c>
      <c r="G27" s="92">
        <v>2013</v>
      </c>
      <c r="H27" s="92">
        <v>2014</v>
      </c>
      <c r="I27" s="92">
        <v>2015</v>
      </c>
    </row>
    <row r="28" spans="2:9">
      <c r="B28" s="10">
        <v>1</v>
      </c>
      <c r="C28" s="93" t="s">
        <v>0</v>
      </c>
      <c r="D28" s="99" t="s">
        <v>127</v>
      </c>
      <c r="E28" s="157" t="s">
        <v>232</v>
      </c>
      <c r="F28" s="94" t="s">
        <v>1</v>
      </c>
      <c r="G28" s="95">
        <v>50000</v>
      </c>
      <c r="H28" s="96"/>
      <c r="I28" s="142"/>
    </row>
    <row r="29" spans="2:9">
      <c r="B29" s="10">
        <v>2</v>
      </c>
      <c r="C29" s="17" t="s">
        <v>2</v>
      </c>
      <c r="D29" s="100" t="s">
        <v>128</v>
      </c>
      <c r="E29" s="154" t="s">
        <v>232</v>
      </c>
      <c r="F29" s="19" t="s">
        <v>129</v>
      </c>
      <c r="G29" s="80">
        <v>20000</v>
      </c>
      <c r="H29" s="81">
        <v>10000</v>
      </c>
      <c r="I29" s="143">
        <v>10000</v>
      </c>
    </row>
    <row r="30" spans="2:9">
      <c r="B30" s="10">
        <v>3</v>
      </c>
      <c r="C30" s="17" t="s">
        <v>3</v>
      </c>
      <c r="D30" s="100" t="s">
        <v>128</v>
      </c>
      <c r="E30" s="154" t="s">
        <v>232</v>
      </c>
      <c r="F30" s="19" t="s">
        <v>129</v>
      </c>
      <c r="G30" s="80">
        <v>20000</v>
      </c>
      <c r="H30" s="81">
        <v>10000</v>
      </c>
      <c r="I30" s="143">
        <v>10000</v>
      </c>
    </row>
    <row r="31" spans="2:9">
      <c r="B31" s="10">
        <v>4</v>
      </c>
      <c r="C31" s="77" t="s">
        <v>193</v>
      </c>
      <c r="D31" s="97" t="s">
        <v>126</v>
      </c>
      <c r="E31" s="156" t="s">
        <v>232</v>
      </c>
      <c r="F31" s="78" t="s">
        <v>1</v>
      </c>
      <c r="G31" s="82"/>
      <c r="H31" s="83"/>
      <c r="I31" s="144"/>
    </row>
    <row r="32" spans="2:9">
      <c r="B32" s="10">
        <v>5</v>
      </c>
      <c r="C32" s="77" t="s">
        <v>4</v>
      </c>
      <c r="D32" s="97" t="s">
        <v>128</v>
      </c>
      <c r="E32" s="156" t="s">
        <v>235</v>
      </c>
      <c r="F32" s="78" t="s">
        <v>5</v>
      </c>
      <c r="G32" s="82"/>
      <c r="H32" s="83"/>
      <c r="I32" s="144"/>
    </row>
    <row r="33" spans="2:9">
      <c r="B33" s="10">
        <v>6</v>
      </c>
      <c r="C33" s="17" t="s">
        <v>6</v>
      </c>
      <c r="D33" s="100" t="s">
        <v>165</v>
      </c>
      <c r="E33" s="154" t="s">
        <v>235</v>
      </c>
      <c r="F33" s="19" t="s">
        <v>7</v>
      </c>
      <c r="G33" s="80">
        <v>2591</v>
      </c>
      <c r="H33" s="81">
        <v>50000</v>
      </c>
      <c r="I33" s="143">
        <v>50000</v>
      </c>
    </row>
    <row r="34" spans="2:9">
      <c r="B34" s="10">
        <v>7</v>
      </c>
      <c r="C34" s="17" t="s">
        <v>8</v>
      </c>
      <c r="D34" s="100" t="s">
        <v>166</v>
      </c>
      <c r="E34" s="154" t="s">
        <v>235</v>
      </c>
      <c r="F34" s="19" t="s">
        <v>7</v>
      </c>
      <c r="G34" s="80">
        <v>25000</v>
      </c>
      <c r="H34" s="80">
        <v>25000</v>
      </c>
      <c r="I34" s="145">
        <v>25000</v>
      </c>
    </row>
    <row r="35" spans="2:9">
      <c r="B35" s="10">
        <v>8</v>
      </c>
      <c r="C35" s="17" t="s">
        <v>9</v>
      </c>
      <c r="D35" s="100" t="s">
        <v>128</v>
      </c>
      <c r="E35" s="154" t="s">
        <v>235</v>
      </c>
      <c r="F35" s="19" t="s">
        <v>10</v>
      </c>
      <c r="G35" s="80">
        <v>30000</v>
      </c>
      <c r="H35" s="81">
        <v>100000</v>
      </c>
      <c r="I35" s="143">
        <v>100000</v>
      </c>
    </row>
    <row r="36" spans="2:9">
      <c r="B36" s="10">
        <v>9</v>
      </c>
      <c r="C36" s="17" t="s">
        <v>130</v>
      </c>
      <c r="D36" s="100" t="s">
        <v>167</v>
      </c>
      <c r="E36" s="154" t="s">
        <v>235</v>
      </c>
      <c r="F36" s="19" t="s">
        <v>11</v>
      </c>
      <c r="G36" s="80">
        <v>18909</v>
      </c>
      <c r="H36" s="91">
        <v>20000</v>
      </c>
      <c r="I36" s="146">
        <v>20000</v>
      </c>
    </row>
    <row r="37" spans="2:9">
      <c r="B37" s="10">
        <v>10</v>
      </c>
      <c r="C37" s="17" t="s">
        <v>131</v>
      </c>
      <c r="D37" s="100" t="s">
        <v>128</v>
      </c>
      <c r="E37" s="154" t="s">
        <v>230</v>
      </c>
      <c r="F37" s="19" t="s">
        <v>12</v>
      </c>
      <c r="G37" s="80">
        <v>107595</v>
      </c>
      <c r="H37" s="88"/>
      <c r="I37" s="147"/>
    </row>
    <row r="38" spans="2:9">
      <c r="B38" s="10">
        <v>11</v>
      </c>
      <c r="C38" s="17" t="s">
        <v>13</v>
      </c>
      <c r="D38" s="100" t="s">
        <v>167</v>
      </c>
      <c r="E38" s="154" t="s">
        <v>230</v>
      </c>
      <c r="F38" s="19" t="s">
        <v>14</v>
      </c>
      <c r="G38" s="80">
        <v>18000</v>
      </c>
      <c r="H38" s="88"/>
      <c r="I38" s="147"/>
    </row>
    <row r="39" spans="2:9">
      <c r="B39" s="10">
        <f>B38+1</f>
        <v>12</v>
      </c>
      <c r="C39" s="17" t="s">
        <v>16</v>
      </c>
      <c r="D39" s="100" t="s">
        <v>167</v>
      </c>
      <c r="E39" s="154" t="s">
        <v>230</v>
      </c>
      <c r="F39" s="19" t="s">
        <v>17</v>
      </c>
      <c r="G39" s="80">
        <v>1400000</v>
      </c>
      <c r="H39" s="88"/>
      <c r="I39" s="147"/>
    </row>
    <row r="40" spans="2:9">
      <c r="B40" s="10">
        <f>B39+1</f>
        <v>13</v>
      </c>
      <c r="C40" s="17" t="s">
        <v>18</v>
      </c>
      <c r="D40" s="100" t="s">
        <v>169</v>
      </c>
      <c r="E40" s="154" t="s">
        <v>230</v>
      </c>
      <c r="F40" s="19" t="s">
        <v>19</v>
      </c>
      <c r="G40" s="80">
        <v>43027</v>
      </c>
      <c r="H40" s="80">
        <v>43027</v>
      </c>
      <c r="I40" s="147"/>
    </row>
    <row r="41" spans="2:9">
      <c r="B41" s="10">
        <f t="shared" ref="B41:B103" si="0">B40+1</f>
        <v>14</v>
      </c>
      <c r="C41" s="17" t="s">
        <v>132</v>
      </c>
      <c r="D41" s="100" t="s">
        <v>167</v>
      </c>
      <c r="E41" s="154" t="s">
        <v>230</v>
      </c>
      <c r="F41" s="19" t="s">
        <v>20</v>
      </c>
      <c r="G41" s="80">
        <v>184545.8</v>
      </c>
      <c r="H41" s="80">
        <v>184545.8</v>
      </c>
      <c r="I41" s="147"/>
    </row>
    <row r="42" spans="2:9">
      <c r="B42" s="10">
        <f>B41+1</f>
        <v>15</v>
      </c>
      <c r="C42" s="17" t="s">
        <v>21</v>
      </c>
      <c r="D42" s="100" t="s">
        <v>128</v>
      </c>
      <c r="E42" s="154" t="s">
        <v>232</v>
      </c>
      <c r="F42" s="19" t="s">
        <v>129</v>
      </c>
      <c r="G42" s="80">
        <v>200</v>
      </c>
      <c r="H42" s="81">
        <v>200</v>
      </c>
      <c r="I42" s="143">
        <v>200</v>
      </c>
    </row>
    <row r="43" spans="2:9">
      <c r="B43" s="10">
        <f t="shared" si="0"/>
        <v>16</v>
      </c>
      <c r="C43" s="17" t="s">
        <v>22</v>
      </c>
      <c r="D43" s="100" t="s">
        <v>167</v>
      </c>
      <c r="E43" s="154" t="s">
        <v>230</v>
      </c>
      <c r="F43" s="19" t="s">
        <v>23</v>
      </c>
      <c r="G43" s="80">
        <v>40000</v>
      </c>
      <c r="H43" s="80">
        <v>40000</v>
      </c>
      <c r="I43" s="145">
        <v>40000</v>
      </c>
    </row>
    <row r="44" spans="2:9">
      <c r="B44" s="10">
        <f t="shared" si="0"/>
        <v>17</v>
      </c>
      <c r="C44" s="17" t="s">
        <v>24</v>
      </c>
      <c r="D44" s="100" t="s">
        <v>170</v>
      </c>
      <c r="E44" s="154" t="s">
        <v>233</v>
      </c>
      <c r="F44" s="19" t="s">
        <v>25</v>
      </c>
      <c r="G44" s="80">
        <v>20000</v>
      </c>
      <c r="H44" s="80">
        <v>20000</v>
      </c>
      <c r="I44" s="145">
        <v>20000</v>
      </c>
    </row>
    <row r="45" spans="2:9">
      <c r="B45" s="10">
        <f t="shared" si="0"/>
        <v>18</v>
      </c>
      <c r="C45" s="17" t="s">
        <v>27</v>
      </c>
      <c r="D45" s="100" t="s">
        <v>167</v>
      </c>
      <c r="E45" s="154" t="s">
        <v>230</v>
      </c>
      <c r="F45" s="19" t="s">
        <v>28</v>
      </c>
      <c r="G45" s="80">
        <v>800000</v>
      </c>
      <c r="H45" s="80">
        <v>1000000</v>
      </c>
      <c r="I45" s="145">
        <v>1000000</v>
      </c>
    </row>
    <row r="46" spans="2:9">
      <c r="B46" s="10">
        <f t="shared" si="0"/>
        <v>19</v>
      </c>
      <c r="C46" s="77" t="s">
        <v>133</v>
      </c>
      <c r="D46" s="97" t="s">
        <v>167</v>
      </c>
      <c r="E46" s="97" t="s">
        <v>230</v>
      </c>
      <c r="F46" s="78" t="s">
        <v>134</v>
      </c>
      <c r="G46" s="82"/>
      <c r="H46" s="83"/>
      <c r="I46" s="144"/>
    </row>
    <row r="47" spans="2:9">
      <c r="B47" s="10">
        <f t="shared" si="0"/>
        <v>20</v>
      </c>
      <c r="C47" s="17" t="s">
        <v>29</v>
      </c>
      <c r="D47" s="100" t="s">
        <v>168</v>
      </c>
      <c r="E47" s="154" t="s">
        <v>230</v>
      </c>
      <c r="F47" s="19" t="s">
        <v>26</v>
      </c>
      <c r="G47" s="80">
        <v>30000</v>
      </c>
      <c r="H47" s="80">
        <v>50000</v>
      </c>
      <c r="I47" s="145">
        <v>50000</v>
      </c>
    </row>
    <row r="48" spans="2:9">
      <c r="B48" s="10">
        <f t="shared" si="0"/>
        <v>21</v>
      </c>
      <c r="C48" s="17" t="s">
        <v>30</v>
      </c>
      <c r="D48" s="100" t="s">
        <v>167</v>
      </c>
      <c r="E48" s="154" t="s">
        <v>230</v>
      </c>
      <c r="F48" s="19" t="s">
        <v>31</v>
      </c>
      <c r="G48" s="80">
        <v>660000</v>
      </c>
      <c r="H48" s="80">
        <v>660000</v>
      </c>
      <c r="I48" s="145">
        <v>660000</v>
      </c>
    </row>
    <row r="49" spans="2:9">
      <c r="B49" s="10">
        <f t="shared" si="0"/>
        <v>22</v>
      </c>
      <c r="C49" s="17" t="s">
        <v>32</v>
      </c>
      <c r="D49" s="100" t="s">
        <v>167</v>
      </c>
      <c r="E49" s="154" t="s">
        <v>230</v>
      </c>
      <c r="F49" s="19" t="s">
        <v>15</v>
      </c>
      <c r="G49" s="80">
        <v>220000</v>
      </c>
      <c r="H49" s="80">
        <v>220000</v>
      </c>
      <c r="I49" s="145">
        <v>220000</v>
      </c>
    </row>
    <row r="50" spans="2:9">
      <c r="B50" s="10">
        <f t="shared" si="0"/>
        <v>23</v>
      </c>
      <c r="C50" s="17" t="s">
        <v>33</v>
      </c>
      <c r="D50" s="100" t="s">
        <v>167</v>
      </c>
      <c r="E50" s="154" t="s">
        <v>230</v>
      </c>
      <c r="F50" s="19" t="s">
        <v>34</v>
      </c>
      <c r="G50" s="80">
        <v>200000</v>
      </c>
      <c r="H50" s="80">
        <v>200000</v>
      </c>
      <c r="I50" s="145">
        <v>200000</v>
      </c>
    </row>
    <row r="51" spans="2:9">
      <c r="B51" s="10">
        <f t="shared" si="0"/>
        <v>24</v>
      </c>
      <c r="C51" s="17" t="s">
        <v>35</v>
      </c>
      <c r="D51" s="100" t="s">
        <v>167</v>
      </c>
      <c r="E51" s="154" t="s">
        <v>230</v>
      </c>
      <c r="F51" s="19" t="s">
        <v>15</v>
      </c>
      <c r="G51" s="80">
        <v>1000000</v>
      </c>
      <c r="H51" s="80">
        <v>1200000</v>
      </c>
      <c r="I51" s="145">
        <v>1400000</v>
      </c>
    </row>
    <row r="52" spans="2:9">
      <c r="B52" s="10">
        <f t="shared" si="0"/>
        <v>25</v>
      </c>
      <c r="C52" s="17" t="s">
        <v>135</v>
      </c>
      <c r="D52" s="100" t="s">
        <v>171</v>
      </c>
      <c r="E52" s="154" t="s">
        <v>233</v>
      </c>
      <c r="F52" s="19" t="s">
        <v>25</v>
      </c>
      <c r="G52" s="80">
        <v>12987</v>
      </c>
      <c r="H52" s="81">
        <v>20000</v>
      </c>
      <c r="I52" s="143">
        <v>20000</v>
      </c>
    </row>
    <row r="53" spans="2:9">
      <c r="B53" s="10">
        <f t="shared" si="0"/>
        <v>26</v>
      </c>
      <c r="C53" s="77" t="s">
        <v>136</v>
      </c>
      <c r="D53" s="97"/>
      <c r="E53" s="97"/>
      <c r="F53" s="79" t="s">
        <v>134</v>
      </c>
      <c r="G53" s="84"/>
      <c r="H53" s="85"/>
      <c r="I53" s="148"/>
    </row>
    <row r="54" spans="2:9">
      <c r="B54" s="10">
        <f t="shared" si="0"/>
        <v>27</v>
      </c>
      <c r="C54" s="77" t="s">
        <v>36</v>
      </c>
      <c r="D54" s="97"/>
      <c r="E54" s="97"/>
      <c r="F54" s="78" t="s">
        <v>5</v>
      </c>
      <c r="G54" s="82"/>
      <c r="H54" s="83"/>
      <c r="I54" s="144"/>
    </row>
    <row r="55" spans="2:9">
      <c r="B55" s="10">
        <f t="shared" si="0"/>
        <v>28</v>
      </c>
      <c r="C55" s="17" t="s">
        <v>37</v>
      </c>
      <c r="D55" s="100" t="s">
        <v>171</v>
      </c>
      <c r="E55" s="154" t="s">
        <v>235</v>
      </c>
      <c r="F55" s="19" t="s">
        <v>10</v>
      </c>
      <c r="G55" s="80">
        <v>600000</v>
      </c>
      <c r="H55" s="80">
        <v>600000</v>
      </c>
      <c r="I55" s="145">
        <v>600000</v>
      </c>
    </row>
    <row r="56" spans="2:9">
      <c r="B56" s="10">
        <f t="shared" si="0"/>
        <v>29</v>
      </c>
      <c r="C56" s="77" t="s">
        <v>38</v>
      </c>
      <c r="D56" s="97"/>
      <c r="E56" s="97"/>
      <c r="F56" s="78" t="s">
        <v>134</v>
      </c>
      <c r="G56" s="82"/>
      <c r="H56" s="82"/>
      <c r="I56" s="149"/>
    </row>
    <row r="57" spans="2:9">
      <c r="B57" s="10">
        <f t="shared" si="0"/>
        <v>30</v>
      </c>
      <c r="C57" s="77" t="s">
        <v>137</v>
      </c>
      <c r="D57" s="97"/>
      <c r="E57" s="97"/>
      <c r="F57" s="78" t="s">
        <v>134</v>
      </c>
      <c r="G57" s="82"/>
      <c r="H57" s="82"/>
      <c r="I57" s="149"/>
    </row>
    <row r="58" spans="2:9">
      <c r="B58" s="10">
        <f t="shared" si="0"/>
        <v>31</v>
      </c>
      <c r="C58" s="77" t="s">
        <v>138</v>
      </c>
      <c r="D58" s="97"/>
      <c r="E58" s="97"/>
      <c r="F58" s="78" t="s">
        <v>134</v>
      </c>
      <c r="G58" s="82"/>
      <c r="H58" s="82"/>
      <c r="I58" s="149"/>
    </row>
    <row r="59" spans="2:9" ht="19.2">
      <c r="B59" s="10">
        <f t="shared" si="0"/>
        <v>32</v>
      </c>
      <c r="C59" s="77" t="s">
        <v>39</v>
      </c>
      <c r="D59" s="97"/>
      <c r="E59" s="97"/>
      <c r="F59" s="109" t="s">
        <v>194</v>
      </c>
      <c r="G59" s="82"/>
      <c r="H59" s="83"/>
      <c r="I59" s="144"/>
    </row>
    <row r="60" spans="2:9">
      <c r="B60" s="10">
        <f t="shared" si="0"/>
        <v>33</v>
      </c>
      <c r="C60" s="17" t="s">
        <v>40</v>
      </c>
      <c r="D60" s="100" t="s">
        <v>167</v>
      </c>
      <c r="E60" s="154" t="s">
        <v>230</v>
      </c>
      <c r="F60" s="19" t="s">
        <v>15</v>
      </c>
      <c r="G60" s="80">
        <v>1480000</v>
      </c>
      <c r="H60" s="80">
        <v>1480000</v>
      </c>
      <c r="I60" s="145">
        <v>1480000</v>
      </c>
    </row>
    <row r="61" spans="2:9">
      <c r="B61" s="10">
        <f t="shared" si="0"/>
        <v>34</v>
      </c>
      <c r="C61" s="77" t="s">
        <v>41</v>
      </c>
      <c r="D61" s="97"/>
      <c r="E61" s="97"/>
      <c r="F61" s="78" t="s">
        <v>134</v>
      </c>
      <c r="G61" s="82"/>
      <c r="H61" s="83"/>
      <c r="I61" s="144"/>
    </row>
    <row r="62" spans="2:9">
      <c r="B62" s="10">
        <f t="shared" si="0"/>
        <v>35</v>
      </c>
      <c r="C62" s="17" t="s">
        <v>42</v>
      </c>
      <c r="D62" s="100" t="s">
        <v>171</v>
      </c>
      <c r="E62" s="154" t="s">
        <v>230</v>
      </c>
      <c r="F62" s="19" t="s">
        <v>43</v>
      </c>
      <c r="G62" s="80">
        <v>59115</v>
      </c>
      <c r="H62" s="80">
        <v>59115</v>
      </c>
      <c r="I62" s="150"/>
    </row>
    <row r="63" spans="2:9">
      <c r="B63" s="10">
        <f t="shared" si="0"/>
        <v>36</v>
      </c>
      <c r="C63" s="17" t="s">
        <v>44</v>
      </c>
      <c r="D63" s="100" t="s">
        <v>128</v>
      </c>
      <c r="E63" s="154" t="s">
        <v>232</v>
      </c>
      <c r="F63" s="19" t="s">
        <v>129</v>
      </c>
      <c r="G63" s="80">
        <v>1200</v>
      </c>
      <c r="H63" s="80">
        <v>1200</v>
      </c>
      <c r="I63" s="145">
        <v>1200</v>
      </c>
    </row>
    <row r="64" spans="2:9">
      <c r="B64" s="10">
        <f t="shared" si="0"/>
        <v>37</v>
      </c>
      <c r="C64" s="17" t="s">
        <v>45</v>
      </c>
      <c r="D64" s="100" t="s">
        <v>172</v>
      </c>
      <c r="E64" s="154" t="s">
        <v>230</v>
      </c>
      <c r="F64" s="19" t="s">
        <v>46</v>
      </c>
      <c r="G64" s="80">
        <v>78839</v>
      </c>
      <c r="H64" s="80">
        <v>78839</v>
      </c>
      <c r="I64" s="145">
        <v>78839</v>
      </c>
    </row>
    <row r="65" spans="2:9">
      <c r="B65" s="10">
        <f t="shared" si="0"/>
        <v>38</v>
      </c>
      <c r="C65" s="17" t="s">
        <v>47</v>
      </c>
      <c r="D65" s="100" t="s">
        <v>170</v>
      </c>
      <c r="E65" s="154" t="s">
        <v>233</v>
      </c>
      <c r="F65" s="19" t="s">
        <v>48</v>
      </c>
      <c r="G65" s="80">
        <v>32120</v>
      </c>
      <c r="H65" s="81">
        <v>30000</v>
      </c>
      <c r="I65" s="143">
        <v>30000</v>
      </c>
    </row>
    <row r="66" spans="2:9">
      <c r="B66" s="10">
        <f t="shared" si="0"/>
        <v>39</v>
      </c>
      <c r="C66" s="77" t="s">
        <v>139</v>
      </c>
      <c r="D66" s="97"/>
      <c r="E66" s="156"/>
      <c r="F66" s="78" t="s">
        <v>134</v>
      </c>
      <c r="G66" s="82">
        <v>156827</v>
      </c>
      <c r="H66" s="83"/>
      <c r="I66" s="144"/>
    </row>
    <row r="67" spans="2:9">
      <c r="B67" s="10">
        <f t="shared" si="0"/>
        <v>40</v>
      </c>
      <c r="C67" s="17" t="s">
        <v>49</v>
      </c>
      <c r="D67" s="100" t="s">
        <v>170</v>
      </c>
      <c r="E67" s="154" t="s">
        <v>235</v>
      </c>
      <c r="F67" s="19" t="s">
        <v>10</v>
      </c>
      <c r="G67" s="86">
        <v>39605</v>
      </c>
      <c r="H67" s="86">
        <v>39605</v>
      </c>
      <c r="I67" s="151">
        <v>39605</v>
      </c>
    </row>
    <row r="68" spans="2:9">
      <c r="B68" s="10">
        <f t="shared" si="0"/>
        <v>41</v>
      </c>
      <c r="C68" s="17" t="s">
        <v>140</v>
      </c>
      <c r="D68" s="100" t="s">
        <v>170</v>
      </c>
      <c r="E68" s="154" t="s">
        <v>235</v>
      </c>
      <c r="F68" s="19" t="s">
        <v>10</v>
      </c>
      <c r="G68" s="80">
        <v>11248</v>
      </c>
      <c r="H68" s="80">
        <v>11248</v>
      </c>
      <c r="I68" s="145">
        <v>11248</v>
      </c>
    </row>
    <row r="69" spans="2:9">
      <c r="B69" s="10">
        <f t="shared" si="0"/>
        <v>42</v>
      </c>
      <c r="C69" s="77">
        <v>118</v>
      </c>
      <c r="D69" s="97"/>
      <c r="E69" s="97"/>
      <c r="F69" s="78" t="s">
        <v>50</v>
      </c>
      <c r="G69" s="82">
        <v>16802</v>
      </c>
      <c r="H69" s="83"/>
      <c r="I69" s="144"/>
    </row>
    <row r="70" spans="2:9">
      <c r="B70" s="10">
        <f t="shared" si="0"/>
        <v>43</v>
      </c>
      <c r="C70" s="77">
        <v>423</v>
      </c>
      <c r="D70" s="97"/>
      <c r="E70" s="97"/>
      <c r="F70" s="78" t="s">
        <v>50</v>
      </c>
      <c r="G70" s="82">
        <v>70311</v>
      </c>
      <c r="H70" s="83"/>
      <c r="I70" s="144"/>
    </row>
    <row r="71" spans="2:9">
      <c r="B71" s="10">
        <f t="shared" si="0"/>
        <v>44</v>
      </c>
      <c r="C71" s="17" t="s">
        <v>51</v>
      </c>
      <c r="D71" s="100" t="s">
        <v>170</v>
      </c>
      <c r="E71" s="154" t="s">
        <v>232</v>
      </c>
      <c r="F71" s="19" t="s">
        <v>52</v>
      </c>
      <c r="G71" s="80">
        <v>20000</v>
      </c>
      <c r="H71" s="80">
        <v>20000</v>
      </c>
      <c r="I71" s="145">
        <v>20000</v>
      </c>
    </row>
    <row r="72" spans="2:9">
      <c r="B72" s="10">
        <f t="shared" si="0"/>
        <v>45</v>
      </c>
      <c r="C72" s="17" t="s">
        <v>53</v>
      </c>
      <c r="D72" s="100" t="s">
        <v>171</v>
      </c>
      <c r="E72" s="154" t="s">
        <v>235</v>
      </c>
      <c r="F72" s="19" t="s">
        <v>7</v>
      </c>
      <c r="G72" s="80">
        <v>20000</v>
      </c>
      <c r="H72" s="91">
        <v>20000</v>
      </c>
      <c r="I72" s="146">
        <v>20000</v>
      </c>
    </row>
    <row r="73" spans="2:9">
      <c r="B73" s="10">
        <f t="shared" si="0"/>
        <v>46</v>
      </c>
      <c r="C73" s="17" t="s">
        <v>54</v>
      </c>
      <c r="D73" s="100" t="s">
        <v>128</v>
      </c>
      <c r="E73" s="154" t="s">
        <v>235</v>
      </c>
      <c r="F73" s="19" t="s">
        <v>7</v>
      </c>
      <c r="G73" s="80">
        <v>25000</v>
      </c>
      <c r="H73" s="91">
        <v>99167</v>
      </c>
      <c r="I73" s="146">
        <v>190000</v>
      </c>
    </row>
    <row r="74" spans="2:9">
      <c r="B74" s="10">
        <f t="shared" si="0"/>
        <v>47</v>
      </c>
      <c r="C74" s="17" t="s">
        <v>141</v>
      </c>
      <c r="D74" s="100" t="s">
        <v>128</v>
      </c>
      <c r="E74" s="154" t="s">
        <v>233</v>
      </c>
      <c r="F74" s="19" t="s">
        <v>129</v>
      </c>
      <c r="G74" s="80">
        <v>22400</v>
      </c>
      <c r="H74" s="81">
        <v>167000</v>
      </c>
      <c r="I74" s="143">
        <v>171000</v>
      </c>
    </row>
    <row r="75" spans="2:9">
      <c r="B75" s="10">
        <f t="shared" si="0"/>
        <v>48</v>
      </c>
      <c r="C75" s="17" t="s">
        <v>142</v>
      </c>
      <c r="D75" s="100" t="s">
        <v>171</v>
      </c>
      <c r="E75" s="154" t="s">
        <v>230</v>
      </c>
      <c r="F75" s="19" t="s">
        <v>46</v>
      </c>
      <c r="G75" s="80">
        <v>16046</v>
      </c>
      <c r="H75" s="81">
        <v>20000</v>
      </c>
      <c r="I75" s="143">
        <v>20000</v>
      </c>
    </row>
    <row r="76" spans="2:9">
      <c r="B76" s="10">
        <f t="shared" si="0"/>
        <v>49</v>
      </c>
      <c r="C76" s="17" t="s">
        <v>56</v>
      </c>
      <c r="D76" s="100" t="s">
        <v>128</v>
      </c>
      <c r="E76" s="154" t="s">
        <v>233</v>
      </c>
      <c r="F76" s="19" t="s">
        <v>46</v>
      </c>
      <c r="G76" s="89"/>
      <c r="H76" s="81">
        <v>50000</v>
      </c>
      <c r="I76" s="143">
        <v>50000</v>
      </c>
    </row>
    <row r="77" spans="2:9">
      <c r="B77" s="10">
        <f t="shared" si="0"/>
        <v>50</v>
      </c>
      <c r="C77" s="77" t="s">
        <v>57</v>
      </c>
      <c r="D77" s="97"/>
      <c r="E77" s="97"/>
      <c r="F77" s="78" t="s">
        <v>50</v>
      </c>
      <c r="G77" s="82">
        <v>2225</v>
      </c>
      <c r="H77" s="83"/>
      <c r="I77" s="144"/>
    </row>
    <row r="78" spans="2:9">
      <c r="B78" s="10">
        <f t="shared" si="0"/>
        <v>51</v>
      </c>
      <c r="C78" s="77" t="s">
        <v>58</v>
      </c>
      <c r="D78" s="97"/>
      <c r="E78" s="97"/>
      <c r="F78" s="79" t="s">
        <v>59</v>
      </c>
      <c r="G78" s="82"/>
      <c r="H78" s="90"/>
      <c r="I78" s="152"/>
    </row>
    <row r="79" spans="2:9">
      <c r="B79" s="10">
        <f t="shared" si="0"/>
        <v>52</v>
      </c>
      <c r="C79" s="17" t="s">
        <v>143</v>
      </c>
      <c r="D79" s="100" t="s">
        <v>171</v>
      </c>
      <c r="E79" s="154" t="s">
        <v>234</v>
      </c>
      <c r="F79" s="20" t="s">
        <v>144</v>
      </c>
      <c r="G79" s="80">
        <v>26700</v>
      </c>
      <c r="H79" s="81">
        <v>41550</v>
      </c>
      <c r="I79" s="143">
        <v>40800</v>
      </c>
    </row>
    <row r="80" spans="2:9">
      <c r="B80" s="10">
        <f t="shared" si="0"/>
        <v>53</v>
      </c>
      <c r="C80" s="17" t="s">
        <v>60</v>
      </c>
      <c r="D80" s="100" t="s">
        <v>170</v>
      </c>
      <c r="E80" s="154" t="s">
        <v>235</v>
      </c>
      <c r="F80" s="19" t="s">
        <v>10</v>
      </c>
      <c r="G80" s="80">
        <v>2591</v>
      </c>
      <c r="H80" s="81">
        <v>50000</v>
      </c>
      <c r="I80" s="143">
        <v>50000</v>
      </c>
    </row>
    <row r="81" spans="2:9">
      <c r="B81" s="10">
        <f t="shared" si="0"/>
        <v>54</v>
      </c>
      <c r="C81" s="17" t="s">
        <v>61</v>
      </c>
      <c r="D81" s="100" t="s">
        <v>170</v>
      </c>
      <c r="E81" s="154" t="s">
        <v>230</v>
      </c>
      <c r="F81" s="19" t="s">
        <v>62</v>
      </c>
      <c r="G81" s="80">
        <v>60000</v>
      </c>
      <c r="H81" s="81">
        <v>80000</v>
      </c>
      <c r="I81" s="143">
        <f>350*300</f>
        <v>105000</v>
      </c>
    </row>
    <row r="82" spans="2:9">
      <c r="B82" s="10">
        <f t="shared" si="0"/>
        <v>55</v>
      </c>
      <c r="C82" s="17" t="s">
        <v>63</v>
      </c>
      <c r="D82" s="100" t="s">
        <v>128</v>
      </c>
      <c r="E82" s="154" t="s">
        <v>232</v>
      </c>
      <c r="F82" s="19" t="s">
        <v>129</v>
      </c>
      <c r="G82" s="80">
        <v>17449</v>
      </c>
      <c r="H82" s="88"/>
      <c r="I82" s="147"/>
    </row>
    <row r="83" spans="2:9">
      <c r="B83" s="10">
        <f>B82+1</f>
        <v>56</v>
      </c>
      <c r="C83" s="17" t="s">
        <v>145</v>
      </c>
      <c r="D83" s="100" t="s">
        <v>167</v>
      </c>
      <c r="E83" s="154" t="s">
        <v>230</v>
      </c>
      <c r="F83" s="19" t="s">
        <v>64</v>
      </c>
      <c r="G83" s="80">
        <v>300000</v>
      </c>
      <c r="H83" s="80">
        <v>300000</v>
      </c>
      <c r="I83" s="145">
        <v>300000</v>
      </c>
    </row>
    <row r="84" spans="2:9">
      <c r="B84" s="10">
        <f t="shared" si="0"/>
        <v>57</v>
      </c>
      <c r="C84" s="17" t="s">
        <v>146</v>
      </c>
      <c r="D84" s="100" t="s">
        <v>127</v>
      </c>
      <c r="E84" s="154" t="s">
        <v>235</v>
      </c>
      <c r="F84" s="19" t="s">
        <v>7</v>
      </c>
      <c r="G84" s="80">
        <v>18909</v>
      </c>
      <c r="H84" s="91">
        <v>20000</v>
      </c>
      <c r="I84" s="146">
        <v>20000</v>
      </c>
    </row>
    <row r="85" spans="2:9">
      <c r="B85" s="10">
        <f t="shared" si="0"/>
        <v>58</v>
      </c>
      <c r="C85" s="17" t="s">
        <v>147</v>
      </c>
      <c r="D85" s="100" t="s">
        <v>170</v>
      </c>
      <c r="E85" s="154" t="s">
        <v>230</v>
      </c>
      <c r="F85" s="19" t="s">
        <v>65</v>
      </c>
      <c r="G85" s="80">
        <v>120000</v>
      </c>
      <c r="H85" s="81">
        <v>148000</v>
      </c>
      <c r="I85" s="143">
        <v>80000</v>
      </c>
    </row>
    <row r="86" spans="2:9">
      <c r="B86" s="10">
        <f t="shared" si="0"/>
        <v>59</v>
      </c>
      <c r="C86" s="17" t="s">
        <v>66</v>
      </c>
      <c r="D86" s="100" t="s">
        <v>167</v>
      </c>
      <c r="E86" s="154" t="s">
        <v>230</v>
      </c>
      <c r="F86" s="19" t="s">
        <v>67</v>
      </c>
      <c r="G86" s="80">
        <v>399538</v>
      </c>
      <c r="H86" s="88"/>
      <c r="I86" s="147"/>
    </row>
    <row r="87" spans="2:9">
      <c r="B87" s="10">
        <f>B86+1</f>
        <v>60</v>
      </c>
      <c r="C87" s="77" t="s">
        <v>68</v>
      </c>
      <c r="D87" s="97"/>
      <c r="E87" s="97"/>
      <c r="F87" s="78" t="s">
        <v>59</v>
      </c>
      <c r="G87" s="82"/>
      <c r="H87" s="83"/>
      <c r="I87" s="144"/>
    </row>
    <row r="88" spans="2:9">
      <c r="B88" s="10">
        <f t="shared" si="0"/>
        <v>61</v>
      </c>
      <c r="C88" s="17" t="s">
        <v>69</v>
      </c>
      <c r="D88" s="100" t="s">
        <v>171</v>
      </c>
      <c r="E88" s="154" t="s">
        <v>230</v>
      </c>
      <c r="F88" s="19" t="s">
        <v>46</v>
      </c>
      <c r="G88" s="80">
        <v>30000</v>
      </c>
      <c r="H88" s="81">
        <v>60000</v>
      </c>
      <c r="I88" s="143">
        <v>60000</v>
      </c>
    </row>
    <row r="89" spans="2:9">
      <c r="B89" s="10">
        <f t="shared" si="0"/>
        <v>62</v>
      </c>
      <c r="C89" s="17" t="s">
        <v>148</v>
      </c>
      <c r="D89" s="100" t="s">
        <v>170</v>
      </c>
      <c r="E89" s="154" t="s">
        <v>233</v>
      </c>
      <c r="F89" s="19" t="s">
        <v>71</v>
      </c>
      <c r="G89" s="89"/>
      <c r="H89" s="81">
        <v>60000</v>
      </c>
      <c r="I89" s="143">
        <v>120000</v>
      </c>
    </row>
    <row r="90" spans="2:9">
      <c r="B90" s="10">
        <f t="shared" si="0"/>
        <v>63</v>
      </c>
      <c r="C90" s="77" t="s">
        <v>72</v>
      </c>
      <c r="D90" s="97"/>
      <c r="E90" s="78" t="s">
        <v>232</v>
      </c>
      <c r="F90" s="78" t="s">
        <v>129</v>
      </c>
      <c r="G90" s="82"/>
      <c r="H90" s="83"/>
      <c r="I90" s="144"/>
    </row>
    <row r="91" spans="2:9">
      <c r="B91" s="10">
        <f t="shared" si="0"/>
        <v>64</v>
      </c>
      <c r="C91" s="17" t="s">
        <v>73</v>
      </c>
      <c r="D91" s="100" t="s">
        <v>170</v>
      </c>
      <c r="E91" s="154" t="s">
        <v>232</v>
      </c>
      <c r="F91" s="19" t="s">
        <v>129</v>
      </c>
      <c r="G91" s="80">
        <v>10415</v>
      </c>
      <c r="H91" s="80">
        <v>10415</v>
      </c>
      <c r="I91" s="145">
        <v>10415</v>
      </c>
    </row>
    <row r="92" spans="2:9">
      <c r="B92" s="10">
        <f t="shared" si="0"/>
        <v>65</v>
      </c>
      <c r="C92" s="17" t="s">
        <v>149</v>
      </c>
      <c r="D92" s="100" t="s">
        <v>170</v>
      </c>
      <c r="E92" s="154" t="s">
        <v>232</v>
      </c>
      <c r="F92" s="19" t="s">
        <v>129</v>
      </c>
      <c r="G92" s="80">
        <v>67100</v>
      </c>
      <c r="H92" s="81">
        <v>90000</v>
      </c>
      <c r="I92" s="143">
        <v>120000</v>
      </c>
    </row>
    <row r="93" spans="2:9">
      <c r="B93" s="10">
        <f t="shared" si="0"/>
        <v>66</v>
      </c>
      <c r="C93" s="17" t="s">
        <v>150</v>
      </c>
      <c r="D93" s="100" t="s">
        <v>128</v>
      </c>
      <c r="E93" s="154" t="s">
        <v>232</v>
      </c>
      <c r="F93" s="19" t="s">
        <v>129</v>
      </c>
      <c r="G93" s="80">
        <v>10415</v>
      </c>
      <c r="H93" s="81">
        <v>15000</v>
      </c>
      <c r="I93" s="143">
        <v>15000</v>
      </c>
    </row>
    <row r="94" spans="2:9">
      <c r="B94" s="10">
        <f t="shared" si="0"/>
        <v>67</v>
      </c>
      <c r="C94" s="17" t="s">
        <v>74</v>
      </c>
      <c r="D94" s="100" t="s">
        <v>171</v>
      </c>
      <c r="E94" s="154" t="s">
        <v>230</v>
      </c>
      <c r="F94" s="19" t="s">
        <v>75</v>
      </c>
      <c r="G94" s="80">
        <v>197449</v>
      </c>
      <c r="H94" s="81">
        <v>210000</v>
      </c>
      <c r="I94" s="143">
        <v>210000</v>
      </c>
    </row>
    <row r="95" spans="2:9">
      <c r="B95" s="10">
        <f t="shared" si="0"/>
        <v>68</v>
      </c>
      <c r="C95" s="17" t="s">
        <v>76</v>
      </c>
      <c r="D95" s="100" t="s">
        <v>167</v>
      </c>
      <c r="E95" s="154" t="s">
        <v>230</v>
      </c>
      <c r="F95" s="19" t="s">
        <v>151</v>
      </c>
      <c r="G95" s="80">
        <v>190000</v>
      </c>
      <c r="H95" s="80">
        <v>190000</v>
      </c>
      <c r="I95" s="145">
        <v>190000</v>
      </c>
    </row>
    <row r="96" spans="2:9">
      <c r="B96" s="10">
        <f t="shared" si="0"/>
        <v>69</v>
      </c>
      <c r="C96" s="17" t="s">
        <v>77</v>
      </c>
      <c r="D96" s="100" t="s">
        <v>170</v>
      </c>
      <c r="E96" s="154" t="s">
        <v>232</v>
      </c>
      <c r="F96" s="19" t="s">
        <v>129</v>
      </c>
      <c r="G96" s="80">
        <v>221000</v>
      </c>
      <c r="H96" s="81">
        <v>219000</v>
      </c>
      <c r="I96" s="143">
        <v>219000</v>
      </c>
    </row>
    <row r="97" spans="2:9">
      <c r="B97" s="10">
        <f>B96+1</f>
        <v>70</v>
      </c>
      <c r="C97" s="17" t="s">
        <v>152</v>
      </c>
      <c r="D97" s="100" t="s">
        <v>173</v>
      </c>
      <c r="E97" s="154" t="s">
        <v>230</v>
      </c>
      <c r="F97" s="19" t="s">
        <v>129</v>
      </c>
      <c r="G97" s="80">
        <v>153600</v>
      </c>
      <c r="H97" s="81">
        <v>164300</v>
      </c>
      <c r="I97" s="143">
        <v>75100</v>
      </c>
    </row>
    <row r="98" spans="2:9">
      <c r="B98" s="10">
        <f t="shared" si="0"/>
        <v>71</v>
      </c>
      <c r="C98" s="17" t="s">
        <v>78</v>
      </c>
      <c r="D98" s="100" t="s">
        <v>170</v>
      </c>
      <c r="E98" s="154" t="s">
        <v>232</v>
      </c>
      <c r="F98" s="19" t="s">
        <v>153</v>
      </c>
      <c r="G98" s="80">
        <v>5000</v>
      </c>
      <c r="H98" s="80">
        <v>5000</v>
      </c>
      <c r="I98" s="145">
        <v>5000</v>
      </c>
    </row>
    <row r="99" spans="2:9">
      <c r="B99" s="10">
        <f t="shared" si="0"/>
        <v>72</v>
      </c>
      <c r="C99" s="17" t="s">
        <v>79</v>
      </c>
      <c r="D99" s="100" t="s">
        <v>170</v>
      </c>
      <c r="E99" s="154" t="s">
        <v>232</v>
      </c>
      <c r="F99" s="19" t="s">
        <v>129</v>
      </c>
      <c r="G99" s="80">
        <v>600</v>
      </c>
      <c r="H99" s="80">
        <v>600</v>
      </c>
      <c r="I99" s="145">
        <v>600</v>
      </c>
    </row>
    <row r="100" spans="2:9">
      <c r="B100" s="10">
        <f t="shared" si="0"/>
        <v>73</v>
      </c>
      <c r="C100" s="17" t="s">
        <v>80</v>
      </c>
      <c r="D100" s="100" t="s">
        <v>170</v>
      </c>
      <c r="E100" s="154" t="s">
        <v>232</v>
      </c>
      <c r="F100" s="19" t="s">
        <v>65</v>
      </c>
      <c r="G100" s="80">
        <v>91000</v>
      </c>
      <c r="H100" s="88"/>
      <c r="I100" s="147"/>
    </row>
    <row r="101" spans="2:9">
      <c r="B101" s="10">
        <f t="shared" si="0"/>
        <v>74</v>
      </c>
      <c r="C101" s="17" t="s">
        <v>81</v>
      </c>
      <c r="D101" s="100" t="s">
        <v>173</v>
      </c>
      <c r="E101" s="154" t="s">
        <v>230</v>
      </c>
      <c r="F101" s="19" t="s">
        <v>65</v>
      </c>
      <c r="G101" s="80">
        <v>91000</v>
      </c>
      <c r="H101" s="88"/>
      <c r="I101" s="147"/>
    </row>
    <row r="102" spans="2:9">
      <c r="B102" s="10">
        <f t="shared" si="0"/>
        <v>75</v>
      </c>
      <c r="C102" s="17" t="s">
        <v>82</v>
      </c>
      <c r="D102" s="100" t="s">
        <v>170</v>
      </c>
      <c r="E102" s="154" t="s">
        <v>234</v>
      </c>
      <c r="F102" s="19" t="s">
        <v>83</v>
      </c>
      <c r="G102" s="80">
        <v>210000</v>
      </c>
      <c r="H102" s="81">
        <v>191000</v>
      </c>
      <c r="I102" s="143">
        <v>206000</v>
      </c>
    </row>
    <row r="103" spans="2:9">
      <c r="B103" s="10">
        <f t="shared" si="0"/>
        <v>76</v>
      </c>
      <c r="C103" s="17" t="s">
        <v>84</v>
      </c>
      <c r="D103" s="100" t="s">
        <v>173</v>
      </c>
      <c r="E103" s="154" t="s">
        <v>230</v>
      </c>
      <c r="F103" s="19" t="s">
        <v>129</v>
      </c>
      <c r="G103" s="80">
        <v>210000</v>
      </c>
      <c r="H103" s="81">
        <v>191000</v>
      </c>
      <c r="I103" s="143">
        <v>206000</v>
      </c>
    </row>
    <row r="104" spans="2:9">
      <c r="B104" s="10">
        <f>B103+1</f>
        <v>77</v>
      </c>
      <c r="C104" s="17" t="s">
        <v>85</v>
      </c>
      <c r="D104" s="100" t="s">
        <v>170</v>
      </c>
      <c r="E104" s="154" t="s">
        <v>230</v>
      </c>
      <c r="F104" s="19" t="s">
        <v>46</v>
      </c>
      <c r="G104" s="80">
        <v>10000</v>
      </c>
      <c r="H104" s="81">
        <v>10000</v>
      </c>
      <c r="I104" s="145">
        <v>10000</v>
      </c>
    </row>
    <row r="105" spans="2:9">
      <c r="B105" s="10">
        <f t="shared" ref="B105:B124" si="1">B104+1</f>
        <v>78</v>
      </c>
      <c r="C105" s="17" t="s">
        <v>86</v>
      </c>
      <c r="D105" s="100" t="s">
        <v>167</v>
      </c>
      <c r="E105" s="154" t="s">
        <v>230</v>
      </c>
      <c r="F105" s="19" t="s">
        <v>87</v>
      </c>
      <c r="G105" s="80">
        <v>10000</v>
      </c>
      <c r="H105" s="80">
        <v>10000</v>
      </c>
      <c r="I105" s="147"/>
    </row>
    <row r="106" spans="2:9">
      <c r="B106" s="10">
        <f t="shared" si="1"/>
        <v>79</v>
      </c>
      <c r="C106" s="17" t="s">
        <v>88</v>
      </c>
      <c r="D106" s="100" t="s">
        <v>170</v>
      </c>
      <c r="E106" s="154" t="s">
        <v>235</v>
      </c>
      <c r="F106" s="19" t="s">
        <v>7</v>
      </c>
      <c r="G106" s="80">
        <v>33138</v>
      </c>
      <c r="H106" s="81">
        <v>35000</v>
      </c>
      <c r="I106" s="143">
        <v>35000</v>
      </c>
    </row>
    <row r="107" spans="2:9">
      <c r="B107" s="10">
        <f t="shared" si="1"/>
        <v>80</v>
      </c>
      <c r="C107" s="17" t="s">
        <v>89</v>
      </c>
      <c r="D107" s="100" t="s">
        <v>173</v>
      </c>
      <c r="E107" s="154" t="s">
        <v>230</v>
      </c>
      <c r="F107" s="19" t="s">
        <v>129</v>
      </c>
      <c r="G107" s="80">
        <v>38000</v>
      </c>
      <c r="H107" s="81">
        <v>60000</v>
      </c>
      <c r="I107" s="143">
        <v>70000</v>
      </c>
    </row>
    <row r="108" spans="2:9">
      <c r="B108" s="10">
        <f t="shared" si="1"/>
        <v>81</v>
      </c>
      <c r="C108" s="17" t="s">
        <v>154</v>
      </c>
      <c r="D108" s="100" t="s">
        <v>170</v>
      </c>
      <c r="E108" s="154" t="s">
        <v>232</v>
      </c>
      <c r="F108" s="19" t="s">
        <v>129</v>
      </c>
      <c r="G108" s="80">
        <v>38000</v>
      </c>
      <c r="H108" s="81">
        <v>60000</v>
      </c>
      <c r="I108" s="143">
        <v>70000</v>
      </c>
    </row>
    <row r="109" spans="2:9">
      <c r="B109" s="10">
        <f>B108+1</f>
        <v>82</v>
      </c>
      <c r="C109" s="17" t="s">
        <v>155</v>
      </c>
      <c r="D109" s="100" t="s">
        <v>170</v>
      </c>
      <c r="E109" s="154" t="s">
        <v>230</v>
      </c>
      <c r="F109" s="19" t="s">
        <v>156</v>
      </c>
      <c r="G109" s="80">
        <v>96402</v>
      </c>
      <c r="H109" s="88"/>
      <c r="I109" s="147"/>
    </row>
    <row r="110" spans="2:9">
      <c r="B110" s="10">
        <f>B109+1</f>
        <v>83</v>
      </c>
      <c r="C110" s="17" t="s">
        <v>157</v>
      </c>
      <c r="D110" s="100" t="s">
        <v>170</v>
      </c>
      <c r="E110" s="154" t="s">
        <v>230</v>
      </c>
      <c r="F110" s="19" t="s">
        <v>158</v>
      </c>
      <c r="G110" s="80">
        <v>100000</v>
      </c>
      <c r="H110" s="80">
        <v>100000</v>
      </c>
      <c r="I110" s="145">
        <v>100000</v>
      </c>
    </row>
    <row r="111" spans="2:9">
      <c r="B111" s="10">
        <f t="shared" si="1"/>
        <v>84</v>
      </c>
      <c r="C111" s="17" t="s">
        <v>159</v>
      </c>
      <c r="D111" s="100" t="s">
        <v>170</v>
      </c>
      <c r="E111" s="154" t="s">
        <v>235</v>
      </c>
      <c r="F111" s="19" t="s">
        <v>160</v>
      </c>
      <c r="G111" s="80">
        <v>5000</v>
      </c>
      <c r="H111" s="81">
        <v>20000</v>
      </c>
      <c r="I111" s="143">
        <v>20000</v>
      </c>
    </row>
    <row r="112" spans="2:9">
      <c r="B112" s="10">
        <f t="shared" si="1"/>
        <v>85</v>
      </c>
      <c r="C112" s="17" t="s">
        <v>161</v>
      </c>
      <c r="D112" s="100" t="s">
        <v>170</v>
      </c>
      <c r="E112" s="154" t="s">
        <v>230</v>
      </c>
      <c r="F112" s="19" t="s">
        <v>174</v>
      </c>
      <c r="G112" s="80">
        <v>500</v>
      </c>
      <c r="H112" s="81">
        <v>100000</v>
      </c>
      <c r="I112" s="143">
        <v>100000</v>
      </c>
    </row>
    <row r="113" spans="2:9">
      <c r="B113" s="10">
        <f t="shared" si="1"/>
        <v>86</v>
      </c>
      <c r="C113" s="17" t="s">
        <v>162</v>
      </c>
      <c r="D113" s="100" t="s">
        <v>167</v>
      </c>
      <c r="E113" s="154" t="s">
        <v>232</v>
      </c>
      <c r="F113" s="19" t="s">
        <v>163</v>
      </c>
      <c r="G113" s="80">
        <v>385436</v>
      </c>
      <c r="H113" s="88"/>
      <c r="I113" s="147"/>
    </row>
    <row r="114" spans="2:9">
      <c r="B114" s="10">
        <f t="shared" si="1"/>
        <v>87</v>
      </c>
      <c r="C114" s="17" t="s">
        <v>90</v>
      </c>
      <c r="D114" s="100" t="s">
        <v>167</v>
      </c>
      <c r="E114" s="154" t="s">
        <v>230</v>
      </c>
      <c r="F114" s="19" t="s">
        <v>70</v>
      </c>
      <c r="G114" s="80">
        <v>100000</v>
      </c>
      <c r="H114" s="81">
        <v>400000</v>
      </c>
      <c r="I114" s="143">
        <v>400000</v>
      </c>
    </row>
    <row r="115" spans="2:9">
      <c r="B115" s="10">
        <f t="shared" si="1"/>
        <v>88</v>
      </c>
      <c r="C115" s="17" t="s">
        <v>91</v>
      </c>
      <c r="D115" s="100" t="s">
        <v>167</v>
      </c>
      <c r="E115" s="154" t="s">
        <v>230</v>
      </c>
      <c r="F115" s="19" t="s">
        <v>92</v>
      </c>
      <c r="G115" s="80">
        <v>400000</v>
      </c>
      <c r="H115" s="80">
        <v>600000</v>
      </c>
      <c r="I115" s="145">
        <v>600000</v>
      </c>
    </row>
    <row r="116" spans="2:9">
      <c r="B116" s="10">
        <f t="shared" si="1"/>
        <v>89</v>
      </c>
      <c r="C116" s="17" t="s">
        <v>93</v>
      </c>
      <c r="D116" s="100" t="s">
        <v>167</v>
      </c>
      <c r="E116" s="154" t="s">
        <v>230</v>
      </c>
      <c r="F116" s="19" t="s">
        <v>94</v>
      </c>
      <c r="G116" s="80">
        <v>300000</v>
      </c>
      <c r="H116" s="80">
        <v>500000</v>
      </c>
      <c r="I116" s="145">
        <v>500000</v>
      </c>
    </row>
    <row r="117" spans="2:9">
      <c r="B117" s="10">
        <f t="shared" si="1"/>
        <v>90</v>
      </c>
      <c r="C117" s="17" t="s">
        <v>95</v>
      </c>
      <c r="D117" s="100" t="s">
        <v>128</v>
      </c>
      <c r="E117" s="154" t="s">
        <v>235</v>
      </c>
      <c r="F117" s="19" t="s">
        <v>10</v>
      </c>
      <c r="G117" s="80">
        <v>62980</v>
      </c>
      <c r="H117" s="80">
        <v>62980</v>
      </c>
      <c r="I117" s="145">
        <v>62980</v>
      </c>
    </row>
    <row r="118" spans="2:9">
      <c r="B118" s="10">
        <f t="shared" si="1"/>
        <v>91</v>
      </c>
      <c r="C118" s="17" t="s">
        <v>96</v>
      </c>
      <c r="D118" s="100" t="s">
        <v>171</v>
      </c>
      <c r="E118" s="154" t="s">
        <v>230</v>
      </c>
      <c r="F118" s="19" t="s">
        <v>46</v>
      </c>
      <c r="G118" s="80">
        <v>60000</v>
      </c>
      <c r="H118" s="80">
        <v>60000</v>
      </c>
      <c r="I118" s="145">
        <v>60000</v>
      </c>
    </row>
    <row r="119" spans="2:9">
      <c r="B119" s="10">
        <f t="shared" si="1"/>
        <v>92</v>
      </c>
      <c r="C119" s="17" t="s">
        <v>97</v>
      </c>
      <c r="D119" s="100" t="s">
        <v>171</v>
      </c>
      <c r="E119" s="154" t="s">
        <v>232</v>
      </c>
      <c r="F119" s="19" t="s">
        <v>129</v>
      </c>
      <c r="G119" s="80">
        <v>100</v>
      </c>
      <c r="H119" s="81">
        <v>100</v>
      </c>
      <c r="I119" s="143">
        <v>100</v>
      </c>
    </row>
    <row r="120" spans="2:9">
      <c r="B120" s="10">
        <f t="shared" si="1"/>
        <v>93</v>
      </c>
      <c r="C120" s="17" t="s">
        <v>98</v>
      </c>
      <c r="D120" s="100" t="s">
        <v>170</v>
      </c>
      <c r="E120" s="154" t="s">
        <v>232</v>
      </c>
      <c r="F120" s="19" t="s">
        <v>129</v>
      </c>
      <c r="G120" s="80">
        <v>10000</v>
      </c>
      <c r="H120" s="80">
        <v>10000</v>
      </c>
      <c r="I120" s="145">
        <v>10000</v>
      </c>
    </row>
    <row r="121" spans="2:9">
      <c r="B121" s="10">
        <f t="shared" si="1"/>
        <v>94</v>
      </c>
      <c r="C121" s="17" t="s">
        <v>99</v>
      </c>
      <c r="D121" s="100" t="s">
        <v>128</v>
      </c>
      <c r="E121" s="154" t="s">
        <v>236</v>
      </c>
      <c r="F121" s="19" t="s">
        <v>100</v>
      </c>
      <c r="G121" s="80">
        <v>40000</v>
      </c>
      <c r="H121" s="80">
        <v>40000</v>
      </c>
      <c r="I121" s="145">
        <v>40000</v>
      </c>
    </row>
    <row r="122" spans="2:9">
      <c r="B122" s="10">
        <f t="shared" si="1"/>
        <v>95</v>
      </c>
      <c r="C122" s="17" t="s">
        <v>164</v>
      </c>
      <c r="D122" s="100" t="s">
        <v>171</v>
      </c>
      <c r="E122" s="154" t="s">
        <v>236</v>
      </c>
      <c r="F122" s="19" t="s">
        <v>100</v>
      </c>
      <c r="G122" s="80">
        <v>10000</v>
      </c>
      <c r="H122" s="81">
        <v>50000</v>
      </c>
      <c r="I122" s="143">
        <v>50000</v>
      </c>
    </row>
    <row r="123" spans="2:9">
      <c r="B123" s="10">
        <f t="shared" si="1"/>
        <v>96</v>
      </c>
      <c r="C123" s="17" t="s">
        <v>101</v>
      </c>
      <c r="D123" s="100" t="s">
        <v>128</v>
      </c>
      <c r="E123" s="154" t="s">
        <v>232</v>
      </c>
      <c r="F123" s="19" t="s">
        <v>55</v>
      </c>
      <c r="G123" s="80">
        <v>5000</v>
      </c>
      <c r="H123" s="80">
        <v>5000</v>
      </c>
      <c r="I123" s="145">
        <v>5000</v>
      </c>
    </row>
    <row r="124" spans="2:9">
      <c r="B124" s="10">
        <f t="shared" si="1"/>
        <v>97</v>
      </c>
      <c r="C124" s="17" t="s">
        <v>102</v>
      </c>
      <c r="D124" s="100" t="s">
        <v>167</v>
      </c>
      <c r="E124" s="154" t="s">
        <v>230</v>
      </c>
      <c r="F124" s="19" t="s">
        <v>87</v>
      </c>
      <c r="G124" s="80">
        <v>800000</v>
      </c>
      <c r="H124" s="80">
        <v>800000</v>
      </c>
      <c r="I124" s="145">
        <v>800000</v>
      </c>
    </row>
    <row r="125" spans="2:9" ht="15" thickBot="1">
      <c r="B125" s="16">
        <f>B124+1</f>
        <v>98</v>
      </c>
      <c r="C125" s="18" t="s">
        <v>103</v>
      </c>
      <c r="D125" s="101" t="s">
        <v>167</v>
      </c>
      <c r="E125" s="155" t="s">
        <v>231</v>
      </c>
      <c r="F125" s="21" t="s">
        <v>104</v>
      </c>
      <c r="G125" s="87">
        <v>1572000</v>
      </c>
      <c r="H125" s="87">
        <v>1572000</v>
      </c>
      <c r="I125" s="153">
        <v>1572000</v>
      </c>
    </row>
  </sheetData>
  <autoFilter ref="B27:I125" xr:uid="{00000000-0009-0000-0000-000002000000}"/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1:U6"/>
  <sheetViews>
    <sheetView workbookViewId="0">
      <selection activeCell="N16" sqref="N16"/>
    </sheetView>
  </sheetViews>
  <sheetFormatPr defaultRowHeight="14.4"/>
  <sheetData>
    <row r="1" spans="4:21" ht="15" thickBot="1"/>
    <row r="2" spans="4:21">
      <c r="D2" s="122"/>
      <c r="E2" s="114">
        <v>2013</v>
      </c>
      <c r="F2" s="114">
        <v>2014</v>
      </c>
      <c r="G2" s="115">
        <v>2015</v>
      </c>
    </row>
    <row r="3" spans="4:21">
      <c r="D3" s="116" t="s">
        <v>214</v>
      </c>
      <c r="E3" s="117">
        <v>2950635</v>
      </c>
      <c r="F3" s="117">
        <v>2252600</v>
      </c>
      <c r="G3" s="118">
        <v>2392600</v>
      </c>
      <c r="U3" t="s">
        <v>211</v>
      </c>
    </row>
    <row r="4" spans="4:21">
      <c r="D4" s="116" t="s">
        <v>215</v>
      </c>
      <c r="E4" s="117">
        <v>2620635</v>
      </c>
      <c r="F4" s="117">
        <v>2172600</v>
      </c>
      <c r="G4" s="118">
        <v>2312600</v>
      </c>
      <c r="U4" t="s">
        <v>212</v>
      </c>
    </row>
    <row r="5" spans="4:21" ht="15" thickBot="1">
      <c r="D5" s="119" t="s">
        <v>216</v>
      </c>
      <c r="E5" s="120">
        <v>2620635</v>
      </c>
      <c r="F5" s="120">
        <v>2172600</v>
      </c>
      <c r="G5" s="121">
        <v>2312600</v>
      </c>
      <c r="U5" t="s">
        <v>213</v>
      </c>
    </row>
    <row r="6" spans="4:21">
      <c r="D6" s="98"/>
      <c r="E6" s="98"/>
      <c r="F6" s="98"/>
      <c r="G6" s="98"/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1:U6"/>
  <sheetViews>
    <sheetView workbookViewId="0">
      <selection activeCell="K20" sqref="K20"/>
    </sheetView>
  </sheetViews>
  <sheetFormatPr defaultRowHeight="14.4"/>
  <sheetData>
    <row r="1" spans="4:21" ht="15" thickBot="1"/>
    <row r="2" spans="4:21">
      <c r="D2" s="122"/>
      <c r="E2" s="114">
        <v>2013</v>
      </c>
      <c r="F2" s="114">
        <v>2014</v>
      </c>
      <c r="G2" s="115">
        <v>2015</v>
      </c>
    </row>
    <row r="3" spans="4:21">
      <c r="D3" s="128" t="s">
        <v>217</v>
      </c>
      <c r="E3" s="54">
        <f ca="1">SUMPRODUCT(E$4:E$102,$I$4:$I$102,$P$4:$P$102)</f>
        <v>0</v>
      </c>
      <c r="F3" s="55">
        <f ca="1">SUMPRODUCT(F$4:F$102,$I$4:$I$102,$P$4:$P$102)</f>
        <v>0</v>
      </c>
      <c r="G3" s="123">
        <f ca="1">SUMPRODUCT(G$4:G$102,$I$4:$I$102,$P$4:$P$102)</f>
        <v>0</v>
      </c>
      <c r="U3" t="s">
        <v>211</v>
      </c>
    </row>
    <row r="4" spans="4:21">
      <c r="D4" s="128" t="s">
        <v>218</v>
      </c>
      <c r="E4" s="56">
        <f ca="1">SUMPRODUCT(E$4:E$102,$L$4:$L$102,$P$4:$P$102)</f>
        <v>0</v>
      </c>
      <c r="F4" s="57">
        <f ca="1">SUMPRODUCT(F$4:F$102,$L$4:$L$102,$P$4:$P$102)</f>
        <v>0</v>
      </c>
      <c r="G4" s="124">
        <f ca="1">SUMPRODUCT(G$4:G$102,$L$4:$L$102,$P$4:$P$102)</f>
        <v>0</v>
      </c>
      <c r="U4" t="s">
        <v>212</v>
      </c>
    </row>
    <row r="5" spans="4:21" ht="15" thickBot="1">
      <c r="D5" s="129" t="s">
        <v>219</v>
      </c>
      <c r="E5" s="125">
        <f ca="1">SUMPRODUCT(E$4:E$102,$K$4:$K$102,$P$4:$P$102)</f>
        <v>0</v>
      </c>
      <c r="F5" s="126">
        <f ca="1">SUMPRODUCT(F$4:F$102,$K$4:$K$102,$P$4:$P$102)</f>
        <v>0</v>
      </c>
      <c r="G5" s="127">
        <f ca="1">SUMPRODUCT(G$4:G$102,$K$4:$K$102,$P$4:$P$102)</f>
        <v>0</v>
      </c>
      <c r="U5" t="s">
        <v>213</v>
      </c>
    </row>
    <row r="6" spans="4:21">
      <c r="D6" s="98"/>
      <c r="E6" s="98"/>
      <c r="F6" s="98"/>
      <c r="G6" s="98"/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1:U6"/>
  <sheetViews>
    <sheetView workbookViewId="0">
      <selection activeCell="K5" sqref="K5"/>
    </sheetView>
  </sheetViews>
  <sheetFormatPr defaultRowHeight="14.4"/>
  <sheetData>
    <row r="1" spans="4:21" ht="15" thickBot="1"/>
    <row r="2" spans="4:21">
      <c r="D2" s="122"/>
      <c r="E2" s="114">
        <v>2013</v>
      </c>
      <c r="F2" s="114">
        <v>2014</v>
      </c>
      <c r="G2" s="115">
        <v>2015</v>
      </c>
    </row>
    <row r="3" spans="4:21">
      <c r="D3" s="128" t="s">
        <v>220</v>
      </c>
      <c r="E3" s="60">
        <f ca="1">SUMPRODUCT(E$4:E$102,$I$4:$I$102,$R$4:$R$102)</f>
        <v>0</v>
      </c>
      <c r="F3" s="61">
        <f ca="1">SUMPRODUCT(F$4:F$102,$I$4:$I$102,$R$4:$R$102)</f>
        <v>0</v>
      </c>
      <c r="G3" s="130">
        <f ca="1">SUMPRODUCT(G$4:G$102,$I$4:$I$102,$R$4:$R$102)</f>
        <v>0</v>
      </c>
      <c r="U3" t="s">
        <v>211</v>
      </c>
    </row>
    <row r="4" spans="4:21">
      <c r="D4" s="128" t="s">
        <v>221</v>
      </c>
      <c r="E4" s="62">
        <f ca="1">SUMPRODUCT(E$4:E$102,$L$4:$L$102,$R$4:$R$102)</f>
        <v>0</v>
      </c>
      <c r="F4" s="63">
        <f ca="1">SUMPRODUCT(F$4:F$102,$L$4:$L$102,$R$4:$R$102)</f>
        <v>0</v>
      </c>
      <c r="G4" s="131">
        <f ca="1">SUMPRODUCT(G$4:G$102,$L$4:$L$102,$R$4:$R$102)</f>
        <v>0</v>
      </c>
      <c r="U4" t="s">
        <v>212</v>
      </c>
    </row>
    <row r="5" spans="4:21" ht="15" thickBot="1">
      <c r="D5" s="129" t="s">
        <v>222</v>
      </c>
      <c r="E5" s="132">
        <f ca="1">SUMPRODUCT(E$4:E$102,$K$4:$K$102,$R$4:$R$102)</f>
        <v>0</v>
      </c>
      <c r="F5" s="133">
        <f ca="1">SUMPRODUCT(F$4:F$102,$K$4:$K$102,$R$4:$R$102)</f>
        <v>0</v>
      </c>
      <c r="G5" s="134">
        <f ca="1">SUMPRODUCT(G$4:G$102,$K$4:$K$102,$R$4:$R$102)</f>
        <v>0</v>
      </c>
      <c r="U5" t="s">
        <v>213</v>
      </c>
    </row>
    <row r="6" spans="4:21">
      <c r="D6" s="98"/>
      <c r="E6" s="98"/>
      <c r="F6" s="98"/>
      <c r="G6" s="98"/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1:U6"/>
  <sheetViews>
    <sheetView workbookViewId="0">
      <selection activeCell="I20" sqref="I20"/>
    </sheetView>
  </sheetViews>
  <sheetFormatPr defaultRowHeight="14.4"/>
  <sheetData>
    <row r="1" spans="4:21" ht="15" thickBot="1"/>
    <row r="2" spans="4:21">
      <c r="D2" s="122"/>
      <c r="E2" s="114">
        <v>2013</v>
      </c>
      <c r="F2" s="114">
        <v>2014</v>
      </c>
      <c r="G2" s="115">
        <v>2015</v>
      </c>
    </row>
    <row r="3" spans="4:21">
      <c r="D3" s="128" t="s">
        <v>223</v>
      </c>
      <c r="E3" s="66">
        <f ca="1">SUMPRODUCT(E$4:E$102,$I$4:$I$102,$Q$4:$Q$102)</f>
        <v>0</v>
      </c>
      <c r="F3" s="67">
        <f ca="1">SUMPRODUCT(F$4:F$102,$I$4:$I$102,$Q$4:$Q$102)</f>
        <v>0</v>
      </c>
      <c r="G3" s="67">
        <f ca="1">SUMPRODUCT(G$4:G$102,$I$4:$I$102,$Q$4:$Q$102)</f>
        <v>0</v>
      </c>
      <c r="U3" t="s">
        <v>211</v>
      </c>
    </row>
    <row r="4" spans="4:21">
      <c r="D4" s="128" t="s">
        <v>224</v>
      </c>
      <c r="E4" s="68">
        <f ca="1">SUMPRODUCT(E$4:E$102,$L$4:$L$102,$Q$4:$Q$102)</f>
        <v>0</v>
      </c>
      <c r="F4" s="69">
        <f ca="1">SUMPRODUCT(F$4:F$102,$L$4:$L$102,$Q$4:$Q$102)</f>
        <v>0</v>
      </c>
      <c r="G4" s="69">
        <f ca="1">SUMPRODUCT(G$4:G$102,$L$4:$L$102,$Q$4:$Q$102)</f>
        <v>0</v>
      </c>
      <c r="U4" t="s">
        <v>212</v>
      </c>
    </row>
    <row r="5" spans="4:21" ht="15" thickBot="1">
      <c r="D5" s="129" t="s">
        <v>225</v>
      </c>
      <c r="E5" s="70">
        <f ca="1">SUMPRODUCT(E$4:E$102,$K$4:$K$102,$Q$4:$Q$102)</f>
        <v>0</v>
      </c>
      <c r="F5" s="71">
        <f ca="1">SUMPRODUCT(F$4:F$102,$K$4:$K$102,$Q$4:$Q$102)</f>
        <v>0</v>
      </c>
      <c r="G5" s="71">
        <f ca="1">SUMPRODUCT(G$4:G$102,$K$4:$K$102,$Q$4:$Q$102)</f>
        <v>0</v>
      </c>
      <c r="U5" t="s">
        <v>213</v>
      </c>
    </row>
    <row r="6" spans="4:21">
      <c r="D6" s="98"/>
      <c r="E6" s="98"/>
      <c r="F6" s="98"/>
      <c r="G6" s="98"/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D1:U5"/>
  <sheetViews>
    <sheetView workbookViewId="0">
      <selection activeCell="F4" sqref="F4"/>
    </sheetView>
  </sheetViews>
  <sheetFormatPr defaultRowHeight="14.4"/>
  <sheetData>
    <row r="1" spans="4:21" ht="15" thickBot="1"/>
    <row r="2" spans="4:21">
      <c r="D2" s="122"/>
      <c r="E2" s="114">
        <v>2013</v>
      </c>
      <c r="F2" s="114">
        <v>2014</v>
      </c>
      <c r="G2" s="115">
        <v>2015</v>
      </c>
    </row>
    <row r="3" spans="4:21">
      <c r="D3" s="128" t="s">
        <v>226</v>
      </c>
      <c r="E3" s="72">
        <f ca="1">SUMPRODUCT(E$4:E$102,$I$4:$I$102,$S$4:$S$102)</f>
        <v>0</v>
      </c>
      <c r="F3" s="73">
        <f ca="1">SUMPRODUCT(F$4:F$102,$I$4:$I$102,$S$4:$S$102)</f>
        <v>0</v>
      </c>
      <c r="G3" s="135">
        <f ca="1">SUMPRODUCT(G$4:G$102,$I$4:$I$102,$S$4:$S$102)</f>
        <v>0</v>
      </c>
      <c r="U3" t="s">
        <v>211</v>
      </c>
    </row>
    <row r="4" spans="4:21" ht="15" thickBot="1">
      <c r="D4" s="129" t="s">
        <v>227</v>
      </c>
      <c r="E4" s="74">
        <f ca="1">SUMPRODUCT(E$4:E$102,$K$4:$K$102,$S$4:$S$102)</f>
        <v>0</v>
      </c>
      <c r="F4" s="75">
        <f ca="1">SUMPRODUCT(F$4:F$102,$K$4:$K$102,$S$4:$S$102)</f>
        <v>0</v>
      </c>
      <c r="G4" s="136">
        <f ca="1">SUMPRODUCT(G$4:G$102,$K$4:$K$102,$S$4:$S$102)</f>
        <v>0</v>
      </c>
      <c r="U4" t="s">
        <v>212</v>
      </c>
    </row>
    <row r="5" spans="4:21">
      <c r="D5" s="98"/>
      <c r="E5" s="98"/>
      <c r="F5" s="98"/>
      <c r="G5" s="98"/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1</vt:i4>
      </vt:variant>
    </vt:vector>
  </HeadingPairs>
  <TitlesOfParts>
    <vt:vector size="9" baseType="lpstr">
      <vt:lpstr>汇总</vt:lpstr>
      <vt:lpstr>公司整体</vt:lpstr>
      <vt:lpstr>宁波</vt:lpstr>
      <vt:lpstr>长春</vt:lpstr>
      <vt:lpstr>广州</vt:lpstr>
      <vt:lpstr>武汉</vt:lpstr>
      <vt:lpstr>成都</vt:lpstr>
      <vt:lpstr>重庆</vt:lpstr>
      <vt:lpstr>汇总!Print_Area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2024-12-22T08:45:50Z</dcterms:modified>
</cp:coreProperties>
</file>