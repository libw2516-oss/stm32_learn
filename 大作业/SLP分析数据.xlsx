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vsdx" ContentType="application/vnd.ms-visio.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filterPrivacy="1" codeName="ThisWorkbook" defaultThemeVersion="124226"/>
  <xr:revisionPtr revIDLastSave="0" documentId="13_ncr:1_{51B5C850-BBDB-44B7-B2DE-A28101423A11}" xr6:coauthVersionLast="47" xr6:coauthVersionMax="47" xr10:uidLastSave="{00000000-0000-0000-0000-000000000000}"/>
  <bookViews>
    <workbookView xWindow="-108" yWindow="-108" windowWidth="30936" windowHeight="16896" activeTab="2" xr2:uid="{00000000-000D-0000-FFFF-FFFF00000000}"/>
  </bookViews>
  <sheets>
    <sheet name="物流量分析" sheetId="1" r:id="rId1"/>
    <sheet name="物流强度关联表" sheetId="2" r:id="rId2"/>
    <sheet name="非物流关系表" sheetId="3" r:id="rId3"/>
  </sheets>
  <definedNames>
    <definedName name="_xlnm._FilterDatabase" localSheetId="1" hidden="1">物流强度关联表!$B$1:$D$25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27" i="1" l="1"/>
  <c r="Z28" i="1"/>
  <c r="Z26" i="1"/>
  <c r="T22" i="1"/>
  <c r="U23" i="1" s="1"/>
  <c r="S21" i="1"/>
  <c r="O16" i="1"/>
  <c r="O17" i="1"/>
  <c r="P17" i="1"/>
  <c r="Y16" i="1"/>
  <c r="V16" i="1"/>
  <c r="U16" i="1"/>
  <c r="T14" i="1"/>
  <c r="M14" i="1"/>
  <c r="K11" i="1"/>
  <c r="J11" i="1"/>
  <c r="M13" i="1"/>
  <c r="Y12" i="1"/>
  <c r="U12" i="1"/>
  <c r="K12" i="1"/>
  <c r="Y11" i="1"/>
  <c r="F7" i="1"/>
  <c r="E7" i="1"/>
  <c r="G8" i="1"/>
</calcChain>
</file>

<file path=xl/sharedStrings.xml><?xml version="1.0" encoding="utf-8"?>
<sst xmlns="http://schemas.openxmlformats.org/spreadsheetml/2006/main" count="134" uniqueCount="133">
  <si>
    <t>0.3kg</t>
    <phoneticPr fontId="1" type="noConversion"/>
  </si>
  <si>
    <t>1kg</t>
    <phoneticPr fontId="1" type="noConversion"/>
  </si>
  <si>
    <t>0.5kg</t>
    <phoneticPr fontId="1" type="noConversion"/>
  </si>
  <si>
    <t>0.6kg</t>
    <phoneticPr fontId="1" type="noConversion"/>
  </si>
  <si>
    <t>0.1kg</t>
    <phoneticPr fontId="1" type="noConversion"/>
  </si>
  <si>
    <t>1-2</t>
    <phoneticPr fontId="1" type="noConversion"/>
  </si>
  <si>
    <t>A</t>
    <phoneticPr fontId="1" type="noConversion"/>
  </si>
  <si>
    <t>2-4</t>
    <phoneticPr fontId="1" type="noConversion"/>
  </si>
  <si>
    <t>21-23</t>
    <phoneticPr fontId="1" type="noConversion"/>
  </si>
  <si>
    <t>8-10</t>
    <phoneticPr fontId="1" type="noConversion"/>
  </si>
  <si>
    <t>7-10</t>
    <phoneticPr fontId="1" type="noConversion"/>
  </si>
  <si>
    <t>5-7</t>
    <phoneticPr fontId="1" type="noConversion"/>
  </si>
  <si>
    <t>10-12</t>
    <phoneticPr fontId="1" type="noConversion"/>
  </si>
  <si>
    <t>11-12</t>
    <phoneticPr fontId="1" type="noConversion"/>
  </si>
  <si>
    <t>11-13</t>
    <phoneticPr fontId="1" type="noConversion"/>
  </si>
  <si>
    <t>1-3</t>
    <phoneticPr fontId="1" type="noConversion"/>
  </si>
  <si>
    <t>15-16</t>
    <phoneticPr fontId="1" type="noConversion"/>
  </si>
  <si>
    <t>6-8</t>
    <phoneticPr fontId="1" type="noConversion"/>
  </si>
  <si>
    <t>22-23</t>
    <phoneticPr fontId="1" type="noConversion"/>
  </si>
  <si>
    <t>16-17</t>
    <phoneticPr fontId="1" type="noConversion"/>
  </si>
  <si>
    <t>17-18</t>
    <phoneticPr fontId="1" type="noConversion"/>
  </si>
  <si>
    <t>5-22</t>
    <phoneticPr fontId="1" type="noConversion"/>
  </si>
  <si>
    <t>6-22</t>
    <phoneticPr fontId="1" type="noConversion"/>
  </si>
  <si>
    <t>20-23</t>
    <phoneticPr fontId="1" type="noConversion"/>
  </si>
  <si>
    <t>E</t>
    <phoneticPr fontId="1" type="noConversion"/>
  </si>
  <si>
    <t>I</t>
    <phoneticPr fontId="1" type="noConversion"/>
  </si>
  <si>
    <t>O</t>
    <phoneticPr fontId="1" type="noConversion"/>
  </si>
  <si>
    <t>U</t>
    <phoneticPr fontId="1" type="noConversion"/>
  </si>
  <si>
    <t>X</t>
    <phoneticPr fontId="1" type="noConversion"/>
  </si>
  <si>
    <r>
      <rPr>
        <sz val="11"/>
        <rFont val="宋体"/>
        <family val="3"/>
        <charset val="134"/>
      </rPr>
      <t>非物流相关图</t>
    </r>
    <phoneticPr fontId="1" type="noConversion"/>
  </si>
  <si>
    <r>
      <rPr>
        <sz val="11"/>
        <rFont val="宋体"/>
        <family val="3"/>
        <charset val="134"/>
      </rPr>
      <t>非物流关系分析</t>
    </r>
    <phoneticPr fontId="1" type="noConversion"/>
  </si>
  <si>
    <r>
      <rPr>
        <sz val="11"/>
        <rFont val="宋体"/>
        <family val="3"/>
        <charset val="134"/>
      </rPr>
      <t>编码</t>
    </r>
    <phoneticPr fontId="1" type="noConversion"/>
  </si>
  <si>
    <r>
      <rPr>
        <sz val="11"/>
        <rFont val="宋体"/>
        <family val="3"/>
        <charset val="134"/>
      </rPr>
      <t>理由</t>
    </r>
    <phoneticPr fontId="1" type="noConversion"/>
  </si>
  <si>
    <r>
      <rPr>
        <sz val="11"/>
        <rFont val="宋体"/>
        <family val="3"/>
        <charset val="134"/>
      </rPr>
      <t>工艺流程</t>
    </r>
    <phoneticPr fontId="1" type="noConversion"/>
  </si>
  <si>
    <r>
      <rPr>
        <sz val="11"/>
        <rFont val="宋体"/>
        <family val="3"/>
        <charset val="134"/>
      </rPr>
      <t>作业性质相似性</t>
    </r>
    <phoneticPr fontId="1" type="noConversion"/>
  </si>
  <si>
    <r>
      <rPr>
        <sz val="11"/>
        <rFont val="宋体"/>
        <family val="3"/>
        <charset val="134"/>
      </rPr>
      <t>使用相同的设备</t>
    </r>
    <phoneticPr fontId="1" type="noConversion"/>
  </si>
  <si>
    <r>
      <rPr>
        <sz val="11"/>
        <rFont val="宋体"/>
        <family val="3"/>
        <charset val="134"/>
      </rPr>
      <t>使用同一场地</t>
    </r>
    <r>
      <rPr>
        <sz val="11"/>
        <rFont val="Times New Roman"/>
        <family val="1"/>
      </rPr>
      <t>/</t>
    </r>
    <r>
      <rPr>
        <sz val="11"/>
        <rFont val="宋体"/>
        <family val="3"/>
        <charset val="134"/>
      </rPr>
      <t>设施</t>
    </r>
    <phoneticPr fontId="1" type="noConversion"/>
  </si>
  <si>
    <r>
      <rPr>
        <sz val="11"/>
        <rFont val="宋体"/>
        <family val="3"/>
        <charset val="134"/>
      </rPr>
      <t>管理监督方便</t>
    </r>
    <phoneticPr fontId="1" type="noConversion"/>
  </si>
  <si>
    <r>
      <rPr>
        <sz val="11"/>
        <rFont val="宋体"/>
        <family val="3"/>
        <charset val="134"/>
      </rPr>
      <t>工作联络频繁</t>
    </r>
    <phoneticPr fontId="1" type="noConversion"/>
  </si>
  <si>
    <r>
      <rPr>
        <sz val="11"/>
        <rFont val="宋体"/>
        <family val="3"/>
        <charset val="134"/>
      </rPr>
      <t>使用同一组人</t>
    </r>
    <phoneticPr fontId="1" type="noConversion"/>
  </si>
  <si>
    <r>
      <rPr>
        <sz val="11"/>
        <rFont val="宋体"/>
        <family val="3"/>
        <charset val="134"/>
      </rPr>
      <t>污染</t>
    </r>
    <phoneticPr fontId="1" type="noConversion"/>
  </si>
  <si>
    <r>
      <rPr>
        <sz val="11"/>
        <rFont val="宋体"/>
        <family val="3"/>
        <charset val="134"/>
      </rPr>
      <t>绝对必要靠近</t>
    </r>
    <phoneticPr fontId="1" type="noConversion"/>
  </si>
  <si>
    <r>
      <rPr>
        <sz val="11"/>
        <rFont val="宋体"/>
        <family val="3"/>
        <charset val="134"/>
      </rPr>
      <t>特别重要靠近</t>
    </r>
    <phoneticPr fontId="1" type="noConversion"/>
  </si>
  <si>
    <r>
      <rPr>
        <sz val="11"/>
        <rFont val="宋体"/>
        <family val="3"/>
        <charset val="134"/>
      </rPr>
      <t>重要</t>
    </r>
    <phoneticPr fontId="1" type="noConversion"/>
  </si>
  <si>
    <r>
      <rPr>
        <sz val="11"/>
        <rFont val="宋体"/>
        <family val="3"/>
        <charset val="134"/>
      </rPr>
      <t>一般</t>
    </r>
    <phoneticPr fontId="1" type="noConversion"/>
  </si>
  <si>
    <r>
      <rPr>
        <sz val="11"/>
        <rFont val="宋体"/>
        <family val="3"/>
        <charset val="134"/>
      </rPr>
      <t>不重要</t>
    </r>
    <phoneticPr fontId="1" type="noConversion"/>
  </si>
  <si>
    <r>
      <rPr>
        <sz val="11"/>
        <rFont val="宋体"/>
        <family val="3"/>
        <charset val="134"/>
      </rPr>
      <t>不希望靠近</t>
    </r>
    <phoneticPr fontId="1" type="noConversion"/>
  </si>
  <si>
    <t>10-19</t>
    <phoneticPr fontId="1" type="noConversion"/>
  </si>
  <si>
    <t>8-17</t>
    <phoneticPr fontId="1" type="noConversion"/>
  </si>
  <si>
    <t>10-18</t>
    <phoneticPr fontId="1" type="noConversion"/>
  </si>
  <si>
    <t>5-8</t>
    <phoneticPr fontId="1" type="noConversion"/>
  </si>
  <si>
    <t>10-22</t>
    <phoneticPr fontId="1" type="noConversion"/>
  </si>
  <si>
    <t>6-18</t>
    <phoneticPr fontId="1" type="noConversion"/>
  </si>
  <si>
    <r>
      <rPr>
        <sz val="11"/>
        <rFont val="宋体"/>
        <family val="3"/>
        <charset val="134"/>
      </rPr>
      <t>作业单位对</t>
    </r>
    <phoneticPr fontId="1" type="noConversion"/>
  </si>
  <si>
    <r>
      <rPr>
        <sz val="11"/>
        <rFont val="宋体"/>
        <family val="3"/>
        <charset val="134"/>
      </rPr>
      <t>名称</t>
    </r>
    <phoneticPr fontId="1" type="noConversion"/>
  </si>
  <si>
    <r>
      <rPr>
        <sz val="11"/>
        <rFont val="宋体"/>
        <family val="3"/>
        <charset val="134"/>
      </rPr>
      <t>物流量（</t>
    </r>
    <r>
      <rPr>
        <sz val="11"/>
        <rFont val="Times New Roman"/>
        <family val="1"/>
      </rPr>
      <t>T)</t>
    </r>
    <phoneticPr fontId="1" type="noConversion"/>
  </si>
  <si>
    <r>
      <rPr>
        <sz val="11"/>
        <rFont val="宋体"/>
        <family val="3"/>
        <charset val="134"/>
      </rPr>
      <t>从金属来料暂存区到金属支杆加工区</t>
    </r>
    <phoneticPr fontId="1" type="noConversion"/>
  </si>
  <si>
    <r>
      <rPr>
        <sz val="11"/>
        <rFont val="宋体"/>
        <family val="3"/>
        <charset val="134"/>
      </rPr>
      <t>从金属支杆加工区到待电镀区</t>
    </r>
    <phoneticPr fontId="1" type="noConversion"/>
  </si>
  <si>
    <r>
      <rPr>
        <sz val="11"/>
        <rFont val="宋体"/>
        <family val="3"/>
        <charset val="134"/>
      </rPr>
      <t>从总成装配区到总成成品区</t>
    </r>
    <phoneticPr fontId="1" type="noConversion"/>
  </si>
  <si>
    <r>
      <rPr>
        <sz val="11"/>
        <rFont val="宋体"/>
        <family val="3"/>
        <charset val="134"/>
      </rPr>
      <t>从支杆检验区到支杆成品区</t>
    </r>
    <phoneticPr fontId="1" type="noConversion"/>
  </si>
  <si>
    <r>
      <rPr>
        <sz val="11"/>
        <rFont val="宋体"/>
        <family val="3"/>
        <charset val="134"/>
      </rPr>
      <t>从泡沫半成品到总成装配区</t>
    </r>
    <phoneticPr fontId="1" type="noConversion"/>
  </si>
  <si>
    <r>
      <rPr>
        <sz val="11"/>
        <rFont val="宋体"/>
        <family val="3"/>
        <charset val="134"/>
      </rPr>
      <t>从泡沫车间到泡沫半成品区</t>
    </r>
    <phoneticPr fontId="1" type="noConversion"/>
  </si>
  <si>
    <r>
      <rPr>
        <sz val="11"/>
        <rFont val="宋体"/>
        <family val="3"/>
        <charset val="134"/>
      </rPr>
      <t>从</t>
    </r>
    <r>
      <rPr>
        <sz val="11"/>
        <rFont val="Times New Roman"/>
        <family val="1"/>
      </rPr>
      <t>PIP</t>
    </r>
    <r>
      <rPr>
        <sz val="11"/>
        <rFont val="宋体"/>
        <family val="3"/>
        <charset val="134"/>
      </rPr>
      <t>车间到总成成品区</t>
    </r>
    <phoneticPr fontId="1" type="noConversion"/>
  </si>
  <si>
    <r>
      <rPr>
        <sz val="11"/>
        <rFont val="宋体"/>
        <family val="3"/>
        <charset val="134"/>
      </rPr>
      <t>从注塑半成品区到总成装配区</t>
    </r>
    <phoneticPr fontId="1" type="noConversion"/>
  </si>
  <si>
    <r>
      <rPr>
        <sz val="11"/>
        <rFont val="宋体"/>
        <family val="3"/>
        <charset val="134"/>
      </rPr>
      <t>从注塑车间到注塑半成品区</t>
    </r>
    <phoneticPr fontId="1" type="noConversion"/>
  </si>
  <si>
    <r>
      <rPr>
        <sz val="11"/>
        <rFont val="宋体"/>
        <family val="3"/>
        <charset val="134"/>
      </rPr>
      <t>从注塑原物料到注塑车间</t>
    </r>
    <phoneticPr fontId="1" type="noConversion"/>
  </si>
  <si>
    <r>
      <rPr>
        <sz val="11"/>
        <rFont val="宋体"/>
        <family val="3"/>
        <charset val="134"/>
      </rPr>
      <t>从金属来料区到金属冲压区</t>
    </r>
    <phoneticPr fontId="1" type="noConversion"/>
  </si>
  <si>
    <r>
      <rPr>
        <sz val="11"/>
        <rFont val="宋体"/>
        <family val="3"/>
        <charset val="134"/>
      </rPr>
      <t>从面料区到裁剪区</t>
    </r>
    <phoneticPr fontId="1" type="noConversion"/>
  </si>
  <si>
    <r>
      <rPr>
        <sz val="11"/>
        <rFont val="宋体"/>
        <family val="3"/>
        <charset val="134"/>
      </rPr>
      <t>从支杆检验区到支杆半成品区</t>
    </r>
    <phoneticPr fontId="1" type="noConversion"/>
  </si>
  <si>
    <r>
      <rPr>
        <sz val="11"/>
        <rFont val="宋体"/>
        <family val="3"/>
        <charset val="134"/>
      </rPr>
      <t>从裁剪区到缝纫区</t>
    </r>
    <phoneticPr fontId="1" type="noConversion"/>
  </si>
  <si>
    <r>
      <rPr>
        <sz val="11"/>
        <rFont val="宋体"/>
        <family val="3"/>
        <charset val="134"/>
      </rPr>
      <t>从缝纫区到面套半成品区</t>
    </r>
    <phoneticPr fontId="1" type="noConversion"/>
  </si>
  <si>
    <r>
      <rPr>
        <sz val="11"/>
        <rFont val="宋体"/>
        <family val="3"/>
        <charset val="134"/>
      </rPr>
      <t>从支杆半成品区到</t>
    </r>
    <r>
      <rPr>
        <sz val="11"/>
        <rFont val="Times New Roman"/>
        <family val="1"/>
      </rPr>
      <t>PIP</t>
    </r>
    <r>
      <rPr>
        <sz val="11"/>
        <rFont val="宋体"/>
        <family val="3"/>
        <charset val="134"/>
      </rPr>
      <t>车间</t>
    </r>
    <phoneticPr fontId="1" type="noConversion"/>
  </si>
  <si>
    <r>
      <rPr>
        <sz val="11"/>
        <rFont val="宋体"/>
        <family val="3"/>
        <charset val="134"/>
      </rPr>
      <t>从支杆半成品区到发泡车间</t>
    </r>
    <phoneticPr fontId="1" type="noConversion"/>
  </si>
  <si>
    <r>
      <rPr>
        <sz val="11"/>
        <rFont val="宋体"/>
        <family val="3"/>
        <charset val="134"/>
      </rPr>
      <t>从支杆包装包材区到支杆检验区</t>
    </r>
    <phoneticPr fontId="1" type="noConversion"/>
  </si>
  <si>
    <r>
      <rPr>
        <sz val="11"/>
        <rFont val="宋体"/>
        <family val="3"/>
        <charset val="134"/>
      </rPr>
      <t>从装配包材区到总成装配区</t>
    </r>
    <phoneticPr fontId="1" type="noConversion"/>
  </si>
  <si>
    <r>
      <rPr>
        <sz val="11"/>
        <rFont val="宋体"/>
        <family val="3"/>
        <charset val="134"/>
      </rPr>
      <t>从缝纫区到总成成品区</t>
    </r>
    <phoneticPr fontId="1" type="noConversion"/>
  </si>
  <si>
    <r>
      <rPr>
        <sz val="11"/>
        <rFont val="宋体"/>
        <family val="3"/>
        <charset val="134"/>
      </rPr>
      <t>从面套半成品区到总成装配区</t>
    </r>
    <phoneticPr fontId="1" type="noConversion"/>
  </si>
  <si>
    <r>
      <rPr>
        <sz val="11"/>
        <rFont val="宋体"/>
        <family val="3"/>
        <charset val="134"/>
      </rPr>
      <t>从发泡车间到总成成品区</t>
    </r>
    <phoneticPr fontId="1" type="noConversion"/>
  </si>
  <si>
    <r>
      <rPr>
        <sz val="11"/>
        <rFont val="宋体"/>
        <family val="3"/>
        <charset val="134"/>
      </rPr>
      <t>从支杆半成品区到总成装配区</t>
    </r>
    <phoneticPr fontId="1" type="noConversion"/>
  </si>
  <si>
    <r>
      <rPr>
        <sz val="11"/>
        <rFont val="宋体"/>
        <family val="3"/>
        <charset val="134"/>
      </rPr>
      <t>从面套半成品区到</t>
    </r>
    <r>
      <rPr>
        <sz val="11"/>
        <rFont val="Times New Roman"/>
        <family val="1"/>
      </rPr>
      <t>PIP</t>
    </r>
    <r>
      <rPr>
        <sz val="11"/>
        <rFont val="宋体"/>
        <family val="3"/>
        <charset val="134"/>
      </rPr>
      <t>车间</t>
    </r>
    <phoneticPr fontId="1" type="noConversion"/>
  </si>
  <si>
    <r>
      <rPr>
        <sz val="11"/>
        <rFont val="宋体"/>
        <family val="3"/>
        <charset val="134"/>
      </rPr>
      <t>单位：吨</t>
    </r>
    <phoneticPr fontId="1" type="noConversion"/>
  </si>
  <si>
    <r>
      <t>1</t>
    </r>
    <r>
      <rPr>
        <sz val="11"/>
        <rFont val="宋体"/>
        <family val="3"/>
        <charset val="134"/>
      </rPr>
      <t>根支杆</t>
    </r>
    <phoneticPr fontId="1" type="noConversion"/>
  </si>
  <si>
    <r>
      <t>1</t>
    </r>
    <r>
      <rPr>
        <sz val="11"/>
        <rFont val="宋体"/>
        <family val="3"/>
        <charset val="134"/>
      </rPr>
      <t>个冲压件</t>
    </r>
    <phoneticPr fontId="1" type="noConversion"/>
  </si>
  <si>
    <r>
      <rPr>
        <sz val="11"/>
        <rFont val="宋体"/>
        <family val="3"/>
        <charset val="134"/>
      </rPr>
      <t>一个面套</t>
    </r>
    <phoneticPr fontId="1" type="noConversion"/>
  </si>
  <si>
    <r>
      <t>1</t>
    </r>
    <r>
      <rPr>
        <sz val="11"/>
        <rFont val="宋体"/>
        <family val="3"/>
        <charset val="134"/>
      </rPr>
      <t>个泡沫件</t>
    </r>
    <phoneticPr fontId="1" type="noConversion"/>
  </si>
  <si>
    <r>
      <t>1</t>
    </r>
    <r>
      <rPr>
        <sz val="11"/>
        <rFont val="宋体"/>
        <family val="3"/>
        <charset val="134"/>
      </rPr>
      <t>个总成件</t>
    </r>
    <phoneticPr fontId="1" type="noConversion"/>
  </si>
  <si>
    <r>
      <rPr>
        <sz val="11"/>
        <rFont val="宋体"/>
        <family val="3"/>
        <charset val="134"/>
      </rPr>
      <t>序号</t>
    </r>
    <phoneticPr fontId="1" type="noConversion"/>
  </si>
  <si>
    <r>
      <rPr>
        <sz val="11"/>
        <rFont val="宋体"/>
        <family val="3"/>
        <charset val="134"/>
      </rPr>
      <t>作业单位</t>
    </r>
    <phoneticPr fontId="1" type="noConversion"/>
  </si>
  <si>
    <r>
      <rPr>
        <sz val="11"/>
        <rFont val="宋体"/>
        <family val="3"/>
        <charset val="134"/>
      </rPr>
      <t>金属来料暂存区</t>
    </r>
  </si>
  <si>
    <r>
      <rPr>
        <sz val="11"/>
        <rFont val="宋体"/>
        <family val="3"/>
        <charset val="134"/>
      </rPr>
      <t>金属支杆加工区</t>
    </r>
  </si>
  <si>
    <r>
      <rPr>
        <sz val="11"/>
        <rFont val="宋体"/>
        <family val="3"/>
        <charset val="134"/>
      </rPr>
      <t>金属冲压区</t>
    </r>
  </si>
  <si>
    <r>
      <rPr>
        <sz val="11"/>
        <rFont val="宋体"/>
        <family val="3"/>
        <charset val="134"/>
      </rPr>
      <t>待电镀区</t>
    </r>
  </si>
  <si>
    <r>
      <rPr>
        <sz val="11"/>
        <rFont val="宋体"/>
        <family val="3"/>
        <charset val="134"/>
      </rPr>
      <t>发泡车间</t>
    </r>
  </si>
  <si>
    <r>
      <t>PIP</t>
    </r>
    <r>
      <rPr>
        <sz val="11"/>
        <rFont val="宋体"/>
        <family val="3"/>
        <charset val="134"/>
      </rPr>
      <t>车间</t>
    </r>
  </si>
  <si>
    <r>
      <rPr>
        <sz val="11"/>
        <rFont val="宋体"/>
        <family val="3"/>
        <charset val="134"/>
      </rPr>
      <t>泡沫半成品区</t>
    </r>
  </si>
  <si>
    <r>
      <rPr>
        <sz val="11"/>
        <rFont val="宋体"/>
        <family val="3"/>
        <charset val="134"/>
      </rPr>
      <t>总成成品区</t>
    </r>
  </si>
  <si>
    <r>
      <rPr>
        <sz val="11"/>
        <rFont val="宋体"/>
        <family val="3"/>
        <charset val="134"/>
      </rPr>
      <t>金属试制中心</t>
    </r>
  </si>
  <si>
    <r>
      <rPr>
        <sz val="11"/>
        <rFont val="宋体"/>
        <family val="3"/>
        <charset val="134"/>
      </rPr>
      <t>总成装配区</t>
    </r>
  </si>
  <si>
    <r>
      <rPr>
        <sz val="11"/>
        <rFont val="宋体"/>
        <family val="3"/>
        <charset val="134"/>
      </rPr>
      <t>注塑车间</t>
    </r>
  </si>
  <si>
    <r>
      <rPr>
        <sz val="11"/>
        <rFont val="宋体"/>
        <family val="3"/>
        <charset val="134"/>
      </rPr>
      <t>注塑半成品区</t>
    </r>
  </si>
  <si>
    <r>
      <rPr>
        <sz val="11"/>
        <rFont val="宋体"/>
        <family val="3"/>
        <charset val="134"/>
      </rPr>
      <t>注塑原物料区</t>
    </r>
  </si>
  <si>
    <r>
      <rPr>
        <sz val="11"/>
        <rFont val="宋体"/>
        <family val="3"/>
        <charset val="134"/>
      </rPr>
      <t>试制中心作业区</t>
    </r>
  </si>
  <si>
    <r>
      <rPr>
        <sz val="11"/>
        <rFont val="宋体"/>
        <family val="3"/>
        <charset val="134"/>
      </rPr>
      <t>面料区</t>
    </r>
  </si>
  <si>
    <r>
      <rPr>
        <sz val="11"/>
        <rFont val="宋体"/>
        <family val="3"/>
        <charset val="134"/>
      </rPr>
      <t>裁剪区</t>
    </r>
  </si>
  <si>
    <r>
      <rPr>
        <sz val="11"/>
        <rFont val="宋体"/>
        <family val="3"/>
        <charset val="134"/>
      </rPr>
      <t>缝纫区</t>
    </r>
  </si>
  <si>
    <r>
      <rPr>
        <sz val="11"/>
        <rFont val="宋体"/>
        <family val="3"/>
        <charset val="134"/>
      </rPr>
      <t>面套半成品区</t>
    </r>
  </si>
  <si>
    <r>
      <rPr>
        <sz val="11"/>
        <rFont val="宋体"/>
        <family val="3"/>
        <charset val="134"/>
      </rPr>
      <t>装配包材区</t>
    </r>
  </si>
  <si>
    <r>
      <rPr>
        <sz val="11"/>
        <rFont val="宋体"/>
        <family val="3"/>
        <charset val="134"/>
      </rPr>
      <t>支杆包装包材区</t>
    </r>
  </si>
  <si>
    <r>
      <rPr>
        <sz val="11"/>
        <rFont val="宋体"/>
        <family val="3"/>
        <charset val="134"/>
      </rPr>
      <t>支杆成品区</t>
    </r>
  </si>
  <si>
    <r>
      <rPr>
        <sz val="11"/>
        <rFont val="宋体"/>
        <family val="3"/>
        <charset val="134"/>
      </rPr>
      <t>支杆半成品区</t>
    </r>
  </si>
  <si>
    <r>
      <rPr>
        <sz val="11"/>
        <rFont val="宋体"/>
        <family val="3"/>
        <charset val="134"/>
      </rPr>
      <t>支杆检验区</t>
    </r>
    <phoneticPr fontId="1" type="noConversion"/>
  </si>
  <si>
    <r>
      <rPr>
        <sz val="11"/>
        <rFont val="宋体"/>
        <family val="3"/>
        <charset val="134"/>
      </rPr>
      <t>金属来料暂存区</t>
    </r>
    <phoneticPr fontId="1" type="noConversion"/>
  </si>
  <si>
    <r>
      <rPr>
        <sz val="11"/>
        <rFont val="宋体"/>
        <family val="3"/>
        <charset val="134"/>
      </rPr>
      <t>金属支杆加工区</t>
    </r>
    <phoneticPr fontId="1" type="noConversion"/>
  </si>
  <si>
    <r>
      <rPr>
        <sz val="11"/>
        <rFont val="宋体"/>
        <family val="3"/>
        <charset val="134"/>
      </rPr>
      <t>金属冲压区</t>
    </r>
    <phoneticPr fontId="1" type="noConversion"/>
  </si>
  <si>
    <r>
      <rPr>
        <sz val="11"/>
        <rFont val="宋体"/>
        <family val="3"/>
        <charset val="134"/>
      </rPr>
      <t>待电镀区</t>
    </r>
    <phoneticPr fontId="1" type="noConversion"/>
  </si>
  <si>
    <r>
      <rPr>
        <sz val="11"/>
        <rFont val="宋体"/>
        <family val="3"/>
        <charset val="134"/>
      </rPr>
      <t>发泡车间</t>
    </r>
    <phoneticPr fontId="1" type="noConversion"/>
  </si>
  <si>
    <r>
      <t>PIP</t>
    </r>
    <r>
      <rPr>
        <sz val="11"/>
        <rFont val="宋体"/>
        <family val="3"/>
        <charset val="134"/>
      </rPr>
      <t>车间</t>
    </r>
    <phoneticPr fontId="1" type="noConversion"/>
  </si>
  <si>
    <r>
      <rPr>
        <sz val="11"/>
        <rFont val="宋体"/>
        <family val="3"/>
        <charset val="134"/>
      </rPr>
      <t>泡沫半成品区</t>
    </r>
    <phoneticPr fontId="1" type="noConversion"/>
  </si>
  <si>
    <r>
      <rPr>
        <sz val="11"/>
        <rFont val="宋体"/>
        <family val="3"/>
        <charset val="134"/>
      </rPr>
      <t>总成成品区</t>
    </r>
    <phoneticPr fontId="1" type="noConversion"/>
  </si>
  <si>
    <r>
      <rPr>
        <sz val="11"/>
        <rFont val="宋体"/>
        <family val="3"/>
        <charset val="134"/>
      </rPr>
      <t>金属试制中心</t>
    </r>
    <phoneticPr fontId="1" type="noConversion"/>
  </si>
  <si>
    <r>
      <rPr>
        <sz val="11"/>
        <rFont val="宋体"/>
        <family val="3"/>
        <charset val="134"/>
      </rPr>
      <t>总成装配区</t>
    </r>
    <phoneticPr fontId="1" type="noConversion"/>
  </si>
  <si>
    <r>
      <rPr>
        <sz val="11"/>
        <rFont val="宋体"/>
        <family val="3"/>
        <charset val="134"/>
      </rPr>
      <t>注塑车间</t>
    </r>
    <phoneticPr fontId="1" type="noConversion"/>
  </si>
  <si>
    <r>
      <rPr>
        <sz val="11"/>
        <rFont val="宋体"/>
        <family val="3"/>
        <charset val="134"/>
      </rPr>
      <t>注塑半成品区</t>
    </r>
    <phoneticPr fontId="1" type="noConversion"/>
  </si>
  <si>
    <r>
      <rPr>
        <sz val="11"/>
        <rFont val="宋体"/>
        <family val="3"/>
        <charset val="134"/>
      </rPr>
      <t>注塑原物料区</t>
    </r>
    <phoneticPr fontId="1" type="noConversion"/>
  </si>
  <si>
    <r>
      <rPr>
        <sz val="11"/>
        <rFont val="宋体"/>
        <family val="3"/>
        <charset val="134"/>
      </rPr>
      <t>试制中心作业区</t>
    </r>
    <phoneticPr fontId="1" type="noConversion"/>
  </si>
  <si>
    <r>
      <rPr>
        <sz val="11"/>
        <rFont val="宋体"/>
        <family val="3"/>
        <charset val="134"/>
      </rPr>
      <t>面料区</t>
    </r>
    <phoneticPr fontId="1" type="noConversion"/>
  </si>
  <si>
    <r>
      <rPr>
        <sz val="11"/>
        <rFont val="宋体"/>
        <family val="3"/>
        <charset val="134"/>
      </rPr>
      <t>裁剪区</t>
    </r>
    <phoneticPr fontId="1" type="noConversion"/>
  </si>
  <si>
    <r>
      <rPr>
        <sz val="11"/>
        <rFont val="宋体"/>
        <family val="3"/>
        <charset val="134"/>
      </rPr>
      <t>缝纫区</t>
    </r>
    <phoneticPr fontId="1" type="noConversion"/>
  </si>
  <si>
    <r>
      <rPr>
        <sz val="11"/>
        <rFont val="宋体"/>
        <family val="3"/>
        <charset val="134"/>
      </rPr>
      <t>面套半成品区</t>
    </r>
    <phoneticPr fontId="1" type="noConversion"/>
  </si>
  <si>
    <r>
      <rPr>
        <sz val="11"/>
        <rFont val="宋体"/>
        <family val="3"/>
        <charset val="134"/>
      </rPr>
      <t>装配包材区</t>
    </r>
    <phoneticPr fontId="1" type="noConversion"/>
  </si>
  <si>
    <r>
      <rPr>
        <sz val="11"/>
        <rFont val="宋体"/>
        <family val="3"/>
        <charset val="134"/>
      </rPr>
      <t>支杆包装包材区</t>
    </r>
    <phoneticPr fontId="1" type="noConversion"/>
  </si>
  <si>
    <r>
      <rPr>
        <sz val="11"/>
        <rFont val="宋体"/>
        <family val="3"/>
        <charset val="134"/>
      </rPr>
      <t>支杆成品区</t>
    </r>
    <phoneticPr fontId="1" type="noConversion"/>
  </si>
  <si>
    <r>
      <rPr>
        <sz val="11"/>
        <rFont val="宋体"/>
        <family val="3"/>
        <charset val="134"/>
      </rPr>
      <t>支杆半成品区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</si>
</sst>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5" x14ac:knownFonts="1">
    <font>
      <sz val="12"/>
      <name val="宋体"/>
      <charset val="134"/>
    </font>
    <font>
      <sz val="9"/>
      <name val="宋体"/>
      <charset val="134"/>
    </font>
    <font>
      <sz val="11"/>
      <name val="黑体"/>
      <family val="3"/>
      <charset val="134"/>
    </font>
    <font>
      <sz val="11"/>
      <name val="宋体"/>
      <family val="3"/>
      <charset val="134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</borders>
  <cellStyleXfs count="1">
    <xf numFmtId="0" fontId="0" fillId="0" borderId="0"/>
  </cellStyleXfs>
  <cellXfs count="15">
    <xf numFmtId="0" fontId="0" fillId="0" borderId="0" xfId="0"/>
    <xf numFmtId="0" fontId="2" fillId="2" borderId="0" xfId="0" applyFont="1" applyFill="1" applyAlignment="1">
      <alignment horizontal="center"/>
    </xf>
    <xf numFmtId="0" fontId="0" fillId="2" borderId="0" xfId="0" applyFill="1"/>
    <xf numFmtId="0" fontId="2" fillId="2" borderId="0" xfId="0" applyFont="1" applyFill="1"/>
    <xf numFmtId="0" fontId="4" fillId="2" borderId="0" xfId="0" applyFont="1" applyFill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0" xfId="0" applyFont="1" applyFill="1"/>
    <xf numFmtId="9" fontId="4" fillId="2" borderId="1" xfId="0" applyNumberFormat="1" applyFont="1" applyFill="1" applyBorder="1" applyAlignment="1">
      <alignment horizontal="center"/>
    </xf>
    <xf numFmtId="49" fontId="4" fillId="2" borderId="1" xfId="0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left"/>
    </xf>
    <xf numFmtId="0" fontId="4" fillId="2" borderId="4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/>
    </xf>
    <xf numFmtId="176" fontId="4" fillId="3" borderId="1" xfId="0" applyNumberFormat="1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129540</xdr:colOff>
          <xdr:row>1</xdr:row>
          <xdr:rowOff>7620</xdr:rowOff>
        </xdr:from>
        <xdr:to>
          <xdr:col>12</xdr:col>
          <xdr:colOff>381000</xdr:colOff>
          <xdr:row>38</xdr:row>
          <xdr:rowOff>0</xdr:rowOff>
        </xdr:to>
        <xdr:sp macro="" textlink="">
          <xdr:nvSpPr>
            <xdr:cNvPr id="3080" name="Object 8" hidden="1">
              <a:extLst>
                <a:ext uri="{63B3BB69-23CF-44E3-9099-C40C66FF867C}">
                  <a14:compatExt spid="_x0000_s3080"/>
                </a:ext>
                <a:ext uri="{FF2B5EF4-FFF2-40B4-BE49-F238E27FC236}">
                  <a16:creationId xmlns:a16="http://schemas.microsoft.com/office/drawing/2014/main" id="{00000000-0008-0000-0200-00000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1.emf"/><Relationship Id="rId4" Type="http://schemas.openxmlformats.org/officeDocument/2006/relationships/package" Target="../embeddings/Microsoft_Visio_Drawing.vsdx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Z29"/>
  <sheetViews>
    <sheetView zoomScale="115" zoomScaleNormal="115" workbookViewId="0">
      <pane xSplit="3" ySplit="6" topLeftCell="D7" activePane="bottomRight" state="frozen"/>
      <selection pane="topRight" activeCell="D1" sqref="D1"/>
      <selection pane="bottomLeft" activeCell="A5" sqref="A5"/>
      <selection pane="bottomRight" activeCell="D33" sqref="D33"/>
    </sheetView>
  </sheetViews>
  <sheetFormatPr defaultColWidth="9" defaultRowHeight="13.8" x14ac:dyDescent="0.25"/>
  <cols>
    <col min="1" max="1" width="3.09765625" style="4" customWidth="1"/>
    <col min="2" max="2" width="5.8984375" style="4" customWidth="1"/>
    <col min="3" max="3" width="14.3984375" style="4" bestFit="1" customWidth="1"/>
    <col min="4" max="26" width="13.19921875" style="4" customWidth="1"/>
    <col min="27" max="16384" width="9" style="4"/>
  </cols>
  <sheetData>
    <row r="1" spans="2:26" ht="14.4" x14ac:dyDescent="0.25">
      <c r="C1" s="4" t="s">
        <v>80</v>
      </c>
      <c r="D1" s="4" t="s">
        <v>81</v>
      </c>
      <c r="E1" s="4" t="s">
        <v>0</v>
      </c>
    </row>
    <row r="2" spans="2:26" ht="14.4" x14ac:dyDescent="0.25">
      <c r="D2" s="4" t="s">
        <v>82</v>
      </c>
      <c r="E2" s="4" t="s">
        <v>1</v>
      </c>
      <c r="F2" s="4" t="s">
        <v>83</v>
      </c>
      <c r="G2" s="4" t="s">
        <v>4</v>
      </c>
    </row>
    <row r="3" spans="2:26" ht="14.4" x14ac:dyDescent="0.25">
      <c r="D3" s="4" t="s">
        <v>84</v>
      </c>
      <c r="E3" s="4" t="s">
        <v>2</v>
      </c>
    </row>
    <row r="4" spans="2:26" ht="14.4" x14ac:dyDescent="0.25">
      <c r="D4" s="4" t="s">
        <v>85</v>
      </c>
      <c r="E4" s="4" t="s">
        <v>3</v>
      </c>
    </row>
    <row r="5" spans="2:26" x14ac:dyDescent="0.25">
      <c r="B5" s="13" t="s">
        <v>86</v>
      </c>
      <c r="C5" s="13" t="s">
        <v>87</v>
      </c>
      <c r="D5" s="5">
        <v>1</v>
      </c>
      <c r="E5" s="5">
        <v>2</v>
      </c>
      <c r="F5" s="5">
        <v>3</v>
      </c>
      <c r="G5" s="5">
        <v>4</v>
      </c>
      <c r="H5" s="5">
        <v>5</v>
      </c>
      <c r="I5" s="5">
        <v>6</v>
      </c>
      <c r="J5" s="5">
        <v>7</v>
      </c>
      <c r="K5" s="5">
        <v>8</v>
      </c>
      <c r="L5" s="5">
        <v>9</v>
      </c>
      <c r="M5" s="5">
        <v>10</v>
      </c>
      <c r="N5" s="5">
        <v>11</v>
      </c>
      <c r="O5" s="5">
        <v>12</v>
      </c>
      <c r="P5" s="5">
        <v>13</v>
      </c>
      <c r="Q5" s="5">
        <v>14</v>
      </c>
      <c r="R5" s="5">
        <v>15</v>
      </c>
      <c r="S5" s="5">
        <v>16</v>
      </c>
      <c r="T5" s="5">
        <v>17</v>
      </c>
      <c r="U5" s="5">
        <v>18</v>
      </c>
      <c r="V5" s="5">
        <v>19</v>
      </c>
      <c r="W5" s="5">
        <v>20</v>
      </c>
      <c r="X5" s="5">
        <v>21</v>
      </c>
      <c r="Y5" s="5">
        <v>22</v>
      </c>
      <c r="Z5" s="5">
        <v>23</v>
      </c>
    </row>
    <row r="6" spans="2:26" ht="14.4" x14ac:dyDescent="0.25">
      <c r="B6" s="14"/>
      <c r="C6" s="14"/>
      <c r="D6" s="5" t="s">
        <v>88</v>
      </c>
      <c r="E6" s="5" t="s">
        <v>89</v>
      </c>
      <c r="F6" s="5" t="s">
        <v>90</v>
      </c>
      <c r="G6" s="5" t="s">
        <v>91</v>
      </c>
      <c r="H6" s="5" t="s">
        <v>92</v>
      </c>
      <c r="I6" s="5" t="s">
        <v>93</v>
      </c>
      <c r="J6" s="5" t="s">
        <v>94</v>
      </c>
      <c r="K6" s="5" t="s">
        <v>95</v>
      </c>
      <c r="L6" s="5" t="s">
        <v>96</v>
      </c>
      <c r="M6" s="5" t="s">
        <v>97</v>
      </c>
      <c r="N6" s="5" t="s">
        <v>98</v>
      </c>
      <c r="O6" s="5" t="s">
        <v>99</v>
      </c>
      <c r="P6" s="5" t="s">
        <v>100</v>
      </c>
      <c r="Q6" s="5" t="s">
        <v>101</v>
      </c>
      <c r="R6" s="5" t="s">
        <v>102</v>
      </c>
      <c r="S6" s="5" t="s">
        <v>103</v>
      </c>
      <c r="T6" s="5" t="s">
        <v>104</v>
      </c>
      <c r="U6" s="5" t="s">
        <v>105</v>
      </c>
      <c r="V6" s="5" t="s">
        <v>106</v>
      </c>
      <c r="W6" s="5" t="s">
        <v>107</v>
      </c>
      <c r="X6" s="5" t="s">
        <v>108</v>
      </c>
      <c r="Y6" s="5" t="s">
        <v>109</v>
      </c>
      <c r="Z6" s="5" t="s">
        <v>110</v>
      </c>
    </row>
    <row r="7" spans="2:26" ht="14.4" x14ac:dyDescent="0.25">
      <c r="B7" s="5">
        <v>1</v>
      </c>
      <c r="C7" s="9" t="s">
        <v>111</v>
      </c>
      <c r="D7" s="10"/>
      <c r="E7" s="11">
        <f>30000000*0.3/1000</f>
        <v>9000</v>
      </c>
      <c r="F7" s="11">
        <f>1500000*1/1000</f>
        <v>1500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</row>
    <row r="8" spans="2:26" ht="14.4" x14ac:dyDescent="0.25">
      <c r="B8" s="5">
        <v>2</v>
      </c>
      <c r="C8" s="9" t="s">
        <v>112</v>
      </c>
      <c r="D8" s="5"/>
      <c r="E8" s="10"/>
      <c r="F8" s="5">
        <v>0</v>
      </c>
      <c r="G8" s="11">
        <f>E7</f>
        <v>9000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</row>
    <row r="9" spans="2:26" ht="14.4" x14ac:dyDescent="0.25">
      <c r="B9" s="5">
        <v>3</v>
      </c>
      <c r="C9" s="9" t="s">
        <v>113</v>
      </c>
      <c r="D9" s="5"/>
      <c r="E9" s="5"/>
      <c r="F9" s="10"/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</row>
    <row r="10" spans="2:26" ht="14.4" x14ac:dyDescent="0.25">
      <c r="B10" s="5">
        <v>4</v>
      </c>
      <c r="C10" s="9" t="s">
        <v>114</v>
      </c>
      <c r="D10" s="5"/>
      <c r="E10" s="5"/>
      <c r="F10" s="5"/>
      <c r="G10" s="10"/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</row>
    <row r="11" spans="2:26" ht="14.4" x14ac:dyDescent="0.25">
      <c r="B11" s="5">
        <v>5</v>
      </c>
      <c r="C11" s="9" t="s">
        <v>115</v>
      </c>
      <c r="D11" s="5"/>
      <c r="E11" s="5"/>
      <c r="F11" s="5"/>
      <c r="G11" s="5"/>
      <c r="H11" s="10"/>
      <c r="I11" s="5">
        <v>0</v>
      </c>
      <c r="J11" s="11">
        <f>3500000*0.5/1000</f>
        <v>1750</v>
      </c>
      <c r="K11" s="11">
        <f>500000*0.5/1000</f>
        <v>250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11">
        <f>4000000*0.3/1000*1/2</f>
        <v>600</v>
      </c>
      <c r="Z11" s="5">
        <v>0</v>
      </c>
    </row>
    <row r="12" spans="2:26" ht="14.4" x14ac:dyDescent="0.25">
      <c r="B12" s="5">
        <v>6</v>
      </c>
      <c r="C12" s="9" t="s">
        <v>116</v>
      </c>
      <c r="D12" s="5"/>
      <c r="E12" s="5"/>
      <c r="F12" s="5"/>
      <c r="G12" s="5"/>
      <c r="H12" s="5"/>
      <c r="I12" s="10"/>
      <c r="J12" s="5">
        <v>0</v>
      </c>
      <c r="K12" s="11">
        <f>2000000*0.6/1000</f>
        <v>1200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11">
        <f>2000000*0.1/1000</f>
        <v>200</v>
      </c>
      <c r="V12" s="5">
        <v>0</v>
      </c>
      <c r="W12" s="5">
        <v>0</v>
      </c>
      <c r="X12" s="5">
        <v>0</v>
      </c>
      <c r="Y12" s="11">
        <f>2000000*0.3/1000</f>
        <v>600</v>
      </c>
      <c r="Z12" s="5">
        <v>0</v>
      </c>
    </row>
    <row r="13" spans="2:26" ht="14.4" x14ac:dyDescent="0.25">
      <c r="B13" s="5">
        <v>7</v>
      </c>
      <c r="C13" s="9" t="s">
        <v>117</v>
      </c>
      <c r="D13" s="5"/>
      <c r="E13" s="5"/>
      <c r="F13" s="5"/>
      <c r="G13" s="5"/>
      <c r="H13" s="5"/>
      <c r="I13" s="5"/>
      <c r="J13" s="10"/>
      <c r="K13" s="5">
        <v>0</v>
      </c>
      <c r="L13" s="5">
        <v>0</v>
      </c>
      <c r="M13" s="11">
        <f>J11</f>
        <v>1750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</row>
    <row r="14" spans="2:26" ht="14.4" x14ac:dyDescent="0.25">
      <c r="B14" s="5">
        <v>8</v>
      </c>
      <c r="C14" s="9" t="s">
        <v>118</v>
      </c>
      <c r="D14" s="5"/>
      <c r="E14" s="5"/>
      <c r="F14" s="5"/>
      <c r="G14" s="5"/>
      <c r="H14" s="5"/>
      <c r="I14" s="5"/>
      <c r="J14" s="5"/>
      <c r="K14" s="10"/>
      <c r="L14" s="5">
        <v>0</v>
      </c>
      <c r="M14" s="11">
        <f>3500000*0.6/1000</f>
        <v>2100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11">
        <f>4500000*0.1/1000</f>
        <v>450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</row>
    <row r="15" spans="2:26" ht="14.4" x14ac:dyDescent="0.25">
      <c r="B15" s="5">
        <v>9</v>
      </c>
      <c r="C15" s="9" t="s">
        <v>119</v>
      </c>
      <c r="D15" s="5"/>
      <c r="E15" s="5"/>
      <c r="F15" s="5"/>
      <c r="G15" s="5"/>
      <c r="H15" s="5"/>
      <c r="I15" s="5"/>
      <c r="J15" s="5"/>
      <c r="K15" s="5"/>
      <c r="L15" s="10"/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</row>
    <row r="16" spans="2:26" ht="14.4" x14ac:dyDescent="0.25">
      <c r="B16" s="5">
        <v>10</v>
      </c>
      <c r="C16" s="9" t="s">
        <v>120</v>
      </c>
      <c r="D16" s="5"/>
      <c r="E16" s="5"/>
      <c r="F16" s="5"/>
      <c r="G16" s="5"/>
      <c r="H16" s="5"/>
      <c r="I16" s="5"/>
      <c r="J16" s="5"/>
      <c r="K16" s="5"/>
      <c r="L16" s="5"/>
      <c r="M16" s="10"/>
      <c r="N16" s="5">
        <v>0</v>
      </c>
      <c r="O16" s="11">
        <f>8000000*0.2/1000</f>
        <v>1600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11">
        <f>3500000*0.1/1000</f>
        <v>350</v>
      </c>
      <c r="V16" s="12">
        <f>3500000/120*16/1000</f>
        <v>466.66666666666669</v>
      </c>
      <c r="W16" s="5">
        <v>0</v>
      </c>
      <c r="X16" s="5">
        <v>0</v>
      </c>
      <c r="Y16" s="11">
        <f>3500000*20%*0.3/1000</f>
        <v>210</v>
      </c>
      <c r="Z16" s="5">
        <v>0</v>
      </c>
    </row>
    <row r="17" spans="2:26" ht="14.4" x14ac:dyDescent="0.25">
      <c r="B17" s="5">
        <v>11</v>
      </c>
      <c r="C17" s="9" t="s">
        <v>121</v>
      </c>
      <c r="D17" s="5"/>
      <c r="E17" s="5"/>
      <c r="F17" s="5"/>
      <c r="G17" s="5"/>
      <c r="H17" s="5"/>
      <c r="I17" s="5"/>
      <c r="J17" s="5"/>
      <c r="K17" s="5"/>
      <c r="L17" s="5"/>
      <c r="M17" s="5"/>
      <c r="N17" s="10"/>
      <c r="O17" s="11">
        <f>O16</f>
        <v>1600</v>
      </c>
      <c r="P17" s="11">
        <f>O17</f>
        <v>1600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</row>
    <row r="18" spans="2:26" ht="14.4" x14ac:dyDescent="0.25">
      <c r="B18" s="5">
        <v>12</v>
      </c>
      <c r="C18" s="9" t="s">
        <v>122</v>
      </c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10"/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</row>
    <row r="19" spans="2:26" ht="14.4" x14ac:dyDescent="0.25">
      <c r="B19" s="5">
        <v>13</v>
      </c>
      <c r="C19" s="9" t="s">
        <v>123</v>
      </c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10"/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</row>
    <row r="20" spans="2:26" ht="14.4" x14ac:dyDescent="0.25">
      <c r="B20" s="5">
        <v>14</v>
      </c>
      <c r="C20" s="9" t="s">
        <v>124</v>
      </c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10"/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</row>
    <row r="21" spans="2:26" ht="14.4" x14ac:dyDescent="0.25">
      <c r="B21" s="5">
        <v>15</v>
      </c>
      <c r="C21" s="9" t="s">
        <v>125</v>
      </c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10"/>
      <c r="S21" s="12">
        <f>8000000*0.1/0.6/1000</f>
        <v>1333.3333333333335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</row>
    <row r="22" spans="2:26" ht="14.4" x14ac:dyDescent="0.25">
      <c r="B22" s="5">
        <v>16</v>
      </c>
      <c r="C22" s="9" t="s">
        <v>126</v>
      </c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10"/>
      <c r="T22" s="11">
        <f>8000000*0.1/1000</f>
        <v>800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</row>
    <row r="23" spans="2:26" ht="14.4" x14ac:dyDescent="0.25">
      <c r="B23" s="5">
        <v>17</v>
      </c>
      <c r="C23" s="9" t="s">
        <v>127</v>
      </c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10"/>
      <c r="U23" s="11">
        <f>T22</f>
        <v>800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</row>
    <row r="24" spans="2:26" ht="14.4" x14ac:dyDescent="0.25">
      <c r="B24" s="5">
        <v>18</v>
      </c>
      <c r="C24" s="9" t="s">
        <v>128</v>
      </c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10"/>
      <c r="V24" s="5">
        <v>0</v>
      </c>
      <c r="W24" s="5">
        <v>0</v>
      </c>
      <c r="X24" s="5">
        <v>0</v>
      </c>
      <c r="Y24" s="5">
        <v>0</v>
      </c>
      <c r="Z24" s="5">
        <v>0</v>
      </c>
    </row>
    <row r="25" spans="2:26" ht="14.4" x14ac:dyDescent="0.25">
      <c r="B25" s="5">
        <v>19</v>
      </c>
      <c r="C25" s="9" t="s">
        <v>129</v>
      </c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10"/>
      <c r="W25" s="5">
        <v>0</v>
      </c>
      <c r="X25" s="5">
        <v>0</v>
      </c>
      <c r="Y25" s="5">
        <v>0</v>
      </c>
      <c r="Z25" s="5">
        <v>0</v>
      </c>
    </row>
    <row r="26" spans="2:26" ht="14.4" x14ac:dyDescent="0.25">
      <c r="B26" s="5">
        <v>20</v>
      </c>
      <c r="C26" s="9" t="s">
        <v>130</v>
      </c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10"/>
      <c r="X26" s="5">
        <v>0</v>
      </c>
      <c r="Y26" s="5">
        <v>0</v>
      </c>
      <c r="Z26" s="11">
        <f>30000000*16/1000/1000</f>
        <v>480</v>
      </c>
    </row>
    <row r="27" spans="2:26" ht="14.4" x14ac:dyDescent="0.25">
      <c r="B27" s="5">
        <v>21</v>
      </c>
      <c r="C27" s="9" t="s">
        <v>131</v>
      </c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10"/>
      <c r="Y27" s="5">
        <v>0</v>
      </c>
      <c r="Z27" s="11">
        <f>26000000*0.3/1000</f>
        <v>7800</v>
      </c>
    </row>
    <row r="28" spans="2:26" ht="14.4" x14ac:dyDescent="0.25">
      <c r="B28" s="5">
        <v>22</v>
      </c>
      <c r="C28" s="9" t="s">
        <v>132</v>
      </c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10"/>
      <c r="Z28" s="11">
        <f>4000000*0.3/1000</f>
        <v>1200</v>
      </c>
    </row>
    <row r="29" spans="2:26" ht="14.4" x14ac:dyDescent="0.25">
      <c r="B29" s="5">
        <v>23</v>
      </c>
      <c r="C29" s="9" t="s">
        <v>110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10"/>
    </row>
  </sheetData>
  <mergeCells count="2">
    <mergeCell ref="C5:C6"/>
    <mergeCell ref="B5:B6"/>
  </mergeCells>
  <phoneticPr fontId="1" type="noConversion"/>
  <pageMargins left="0.75" right="0.75" top="1" bottom="1" header="0.5" footer="0.5"/>
  <pageSetup paperSize="9" orientation="portrait" horizontalDpi="1200" verticalDpi="1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1:D25"/>
  <sheetViews>
    <sheetView zoomScale="145" zoomScaleNormal="145" workbookViewId="0">
      <selection activeCell="H25" sqref="H25"/>
    </sheetView>
  </sheetViews>
  <sheetFormatPr defaultColWidth="9" defaultRowHeight="15.6" x14ac:dyDescent="0.25"/>
  <cols>
    <col min="1" max="1" width="4" style="2" customWidth="1"/>
    <col min="2" max="2" width="12.5" style="6" customWidth="1"/>
    <col min="3" max="3" width="33.8984375" style="6" bestFit="1" customWidth="1"/>
    <col min="4" max="4" width="14.3984375" style="6" bestFit="1" customWidth="1"/>
    <col min="5" max="5" width="8.5" style="2" customWidth="1"/>
    <col min="6" max="16384" width="9" style="2"/>
  </cols>
  <sheetData>
    <row r="1" spans="2:4" x14ac:dyDescent="0.25">
      <c r="B1" s="5" t="s">
        <v>53</v>
      </c>
      <c r="C1" s="5" t="s">
        <v>54</v>
      </c>
      <c r="D1" s="5" t="s">
        <v>55</v>
      </c>
    </row>
    <row r="2" spans="2:4" x14ac:dyDescent="0.25">
      <c r="B2" s="8" t="s">
        <v>5</v>
      </c>
      <c r="C2" s="8" t="s">
        <v>56</v>
      </c>
      <c r="D2" s="5">
        <v>9000</v>
      </c>
    </row>
    <row r="3" spans="2:4" x14ac:dyDescent="0.25">
      <c r="B3" s="8" t="s">
        <v>7</v>
      </c>
      <c r="C3" s="8" t="s">
        <v>57</v>
      </c>
      <c r="D3" s="5">
        <v>9000</v>
      </c>
    </row>
    <row r="4" spans="2:4" x14ac:dyDescent="0.25">
      <c r="B4" s="8" t="s">
        <v>9</v>
      </c>
      <c r="C4" s="8" t="s">
        <v>58</v>
      </c>
      <c r="D4" s="5">
        <v>2100</v>
      </c>
    </row>
    <row r="5" spans="2:4" x14ac:dyDescent="0.25">
      <c r="B5" s="8" t="s">
        <v>8</v>
      </c>
      <c r="C5" s="8" t="s">
        <v>59</v>
      </c>
      <c r="D5" s="5">
        <v>7800</v>
      </c>
    </row>
    <row r="6" spans="2:4" x14ac:dyDescent="0.25">
      <c r="B6" s="8" t="s">
        <v>10</v>
      </c>
      <c r="C6" s="8" t="s">
        <v>60</v>
      </c>
      <c r="D6" s="5">
        <v>1750</v>
      </c>
    </row>
    <row r="7" spans="2:4" x14ac:dyDescent="0.25">
      <c r="B7" s="8" t="s">
        <v>11</v>
      </c>
      <c r="C7" s="8" t="s">
        <v>61</v>
      </c>
      <c r="D7" s="5">
        <v>1750</v>
      </c>
    </row>
    <row r="8" spans="2:4" x14ac:dyDescent="0.25">
      <c r="B8" s="8" t="s">
        <v>17</v>
      </c>
      <c r="C8" s="8" t="s">
        <v>62</v>
      </c>
      <c r="D8" s="5">
        <v>1200</v>
      </c>
    </row>
    <row r="9" spans="2:4" x14ac:dyDescent="0.25">
      <c r="B9" s="8" t="s">
        <v>12</v>
      </c>
      <c r="C9" s="8" t="s">
        <v>63</v>
      </c>
      <c r="D9" s="5">
        <v>1600</v>
      </c>
    </row>
    <row r="10" spans="2:4" x14ac:dyDescent="0.25">
      <c r="B10" s="8" t="s">
        <v>13</v>
      </c>
      <c r="C10" s="8" t="s">
        <v>64</v>
      </c>
      <c r="D10" s="5">
        <v>1600</v>
      </c>
    </row>
    <row r="11" spans="2:4" x14ac:dyDescent="0.25">
      <c r="B11" s="8" t="s">
        <v>14</v>
      </c>
      <c r="C11" s="8" t="s">
        <v>65</v>
      </c>
      <c r="D11" s="5">
        <v>1600</v>
      </c>
    </row>
    <row r="12" spans="2:4" x14ac:dyDescent="0.25">
      <c r="B12" s="8" t="s">
        <v>15</v>
      </c>
      <c r="C12" s="8" t="s">
        <v>66</v>
      </c>
      <c r="D12" s="5">
        <v>1500</v>
      </c>
    </row>
    <row r="13" spans="2:4" x14ac:dyDescent="0.25">
      <c r="B13" s="8" t="s">
        <v>16</v>
      </c>
      <c r="C13" s="8" t="s">
        <v>67</v>
      </c>
      <c r="D13" s="5">
        <v>1333</v>
      </c>
    </row>
    <row r="14" spans="2:4" x14ac:dyDescent="0.25">
      <c r="B14" s="8" t="s">
        <v>18</v>
      </c>
      <c r="C14" s="8" t="s">
        <v>68</v>
      </c>
      <c r="D14" s="5">
        <v>1200</v>
      </c>
    </row>
    <row r="15" spans="2:4" x14ac:dyDescent="0.25">
      <c r="B15" s="8" t="s">
        <v>19</v>
      </c>
      <c r="C15" s="8" t="s">
        <v>69</v>
      </c>
      <c r="D15" s="5">
        <v>800</v>
      </c>
    </row>
    <row r="16" spans="2:4" x14ac:dyDescent="0.25">
      <c r="B16" s="8" t="s">
        <v>20</v>
      </c>
      <c r="C16" s="8" t="s">
        <v>70</v>
      </c>
      <c r="D16" s="5">
        <v>800</v>
      </c>
    </row>
    <row r="17" spans="2:4" x14ac:dyDescent="0.25">
      <c r="B17" s="8" t="s">
        <v>21</v>
      </c>
      <c r="C17" s="8" t="s">
        <v>71</v>
      </c>
      <c r="D17" s="5">
        <v>600</v>
      </c>
    </row>
    <row r="18" spans="2:4" x14ac:dyDescent="0.25">
      <c r="B18" s="8" t="s">
        <v>22</v>
      </c>
      <c r="C18" s="8" t="s">
        <v>72</v>
      </c>
      <c r="D18" s="5">
        <v>600</v>
      </c>
    </row>
    <row r="19" spans="2:4" x14ac:dyDescent="0.25">
      <c r="B19" s="5" t="s">
        <v>23</v>
      </c>
      <c r="C19" s="5" t="s">
        <v>73</v>
      </c>
      <c r="D19" s="5">
        <v>480</v>
      </c>
    </row>
    <row r="20" spans="2:4" x14ac:dyDescent="0.25">
      <c r="B20" s="8" t="s">
        <v>47</v>
      </c>
      <c r="C20" s="5" t="s">
        <v>74</v>
      </c>
      <c r="D20" s="5">
        <v>467</v>
      </c>
    </row>
    <row r="21" spans="2:4" x14ac:dyDescent="0.25">
      <c r="B21" s="8" t="s">
        <v>48</v>
      </c>
      <c r="C21" s="5" t="s">
        <v>75</v>
      </c>
      <c r="D21" s="5">
        <v>450</v>
      </c>
    </row>
    <row r="22" spans="2:4" x14ac:dyDescent="0.25">
      <c r="B22" s="8" t="s">
        <v>49</v>
      </c>
      <c r="C22" s="5" t="s">
        <v>76</v>
      </c>
      <c r="D22" s="5">
        <v>350</v>
      </c>
    </row>
    <row r="23" spans="2:4" x14ac:dyDescent="0.25">
      <c r="B23" s="8" t="s">
        <v>50</v>
      </c>
      <c r="C23" s="5" t="s">
        <v>77</v>
      </c>
      <c r="D23" s="5">
        <v>250</v>
      </c>
    </row>
    <row r="24" spans="2:4" x14ac:dyDescent="0.25">
      <c r="B24" s="8" t="s">
        <v>51</v>
      </c>
      <c r="C24" s="5" t="s">
        <v>78</v>
      </c>
      <c r="D24" s="5">
        <v>210</v>
      </c>
    </row>
    <row r="25" spans="2:4" x14ac:dyDescent="0.25">
      <c r="B25" s="8" t="s">
        <v>52</v>
      </c>
      <c r="C25" s="5" t="s">
        <v>79</v>
      </c>
      <c r="D25" s="5">
        <v>200</v>
      </c>
    </row>
  </sheetData>
  <phoneticPr fontId="1" type="noConversion"/>
  <pageMargins left="0.75" right="0.75" top="1" bottom="1" header="0.5" footer="0.5"/>
  <pageSetup paperSize="9" orientation="portrait" horizontalDpi="1200" verticalDpi="12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B1:R35"/>
  <sheetViews>
    <sheetView tabSelected="1" zoomScale="130" zoomScaleNormal="130" workbookViewId="0">
      <selection activeCell="L1" sqref="L1"/>
    </sheetView>
  </sheetViews>
  <sheetFormatPr defaultColWidth="9" defaultRowHeight="14.4" x14ac:dyDescent="0.25"/>
  <cols>
    <col min="1" max="1" width="9" style="3"/>
    <col min="2" max="2" width="4.3984375" style="3" customWidth="1"/>
    <col min="3" max="3" width="17.8984375" style="3" customWidth="1"/>
    <col min="4" max="4" width="6.3984375" style="3" customWidth="1"/>
    <col min="5" max="5" width="3.3984375" style="3" customWidth="1"/>
    <col min="6" max="6" width="9" style="3"/>
    <col min="7" max="7" width="16.3984375" style="3" bestFit="1" customWidth="1"/>
    <col min="8" max="16384" width="9" style="3"/>
  </cols>
  <sheetData>
    <row r="1" spans="2:7" x14ac:dyDescent="0.25">
      <c r="B1" s="1"/>
      <c r="C1" s="4" t="s">
        <v>30</v>
      </c>
      <c r="D1" s="1"/>
      <c r="G1" s="4" t="s">
        <v>29</v>
      </c>
    </row>
    <row r="2" spans="2:7" x14ac:dyDescent="0.25">
      <c r="B2" s="5" t="s">
        <v>31</v>
      </c>
      <c r="C2" s="5" t="s">
        <v>32</v>
      </c>
      <c r="D2" s="4"/>
    </row>
    <row r="3" spans="2:7" x14ac:dyDescent="0.25">
      <c r="B3" s="5">
        <v>1</v>
      </c>
      <c r="C3" s="5" t="s">
        <v>33</v>
      </c>
      <c r="D3" s="4"/>
    </row>
    <row r="4" spans="2:7" x14ac:dyDescent="0.25">
      <c r="B4" s="5">
        <v>2</v>
      </c>
      <c r="C4" s="5" t="s">
        <v>34</v>
      </c>
      <c r="D4" s="4"/>
    </row>
    <row r="5" spans="2:7" x14ac:dyDescent="0.25">
      <c r="B5" s="5">
        <v>3</v>
      </c>
      <c r="C5" s="5" t="s">
        <v>35</v>
      </c>
      <c r="D5" s="4"/>
    </row>
    <row r="6" spans="2:7" x14ac:dyDescent="0.25">
      <c r="B6" s="5">
        <v>4</v>
      </c>
      <c r="C6" s="5" t="s">
        <v>36</v>
      </c>
      <c r="D6" s="4"/>
    </row>
    <row r="7" spans="2:7" x14ac:dyDescent="0.25">
      <c r="B7" s="5">
        <v>5</v>
      </c>
      <c r="C7" s="5" t="s">
        <v>37</v>
      </c>
      <c r="D7" s="4"/>
    </row>
    <row r="8" spans="2:7" x14ac:dyDescent="0.25">
      <c r="B8" s="5">
        <v>6</v>
      </c>
      <c r="C8" s="5" t="s">
        <v>38</v>
      </c>
      <c r="D8" s="4"/>
    </row>
    <row r="9" spans="2:7" x14ac:dyDescent="0.25">
      <c r="B9" s="5">
        <v>7</v>
      </c>
      <c r="C9" s="5" t="s">
        <v>39</v>
      </c>
      <c r="D9" s="4"/>
    </row>
    <row r="10" spans="2:7" x14ac:dyDescent="0.25">
      <c r="B10" s="5">
        <v>8</v>
      </c>
      <c r="C10" s="5" t="s">
        <v>40</v>
      </c>
      <c r="D10" s="6"/>
    </row>
    <row r="11" spans="2:7" x14ac:dyDescent="0.25">
      <c r="B11" s="6"/>
      <c r="C11" s="6"/>
      <c r="D11" s="6"/>
    </row>
    <row r="12" spans="2:7" x14ac:dyDescent="0.25">
      <c r="B12" s="5" t="s">
        <v>6</v>
      </c>
      <c r="C12" s="5" t="s">
        <v>41</v>
      </c>
      <c r="D12" s="7">
        <v>0.03</v>
      </c>
    </row>
    <row r="13" spans="2:7" x14ac:dyDescent="0.25">
      <c r="B13" s="5" t="s">
        <v>24</v>
      </c>
      <c r="C13" s="5" t="s">
        <v>42</v>
      </c>
      <c r="D13" s="7">
        <v>0.08</v>
      </c>
    </row>
    <row r="14" spans="2:7" x14ac:dyDescent="0.25">
      <c r="B14" s="5" t="s">
        <v>25</v>
      </c>
      <c r="C14" s="5" t="s">
        <v>43</v>
      </c>
      <c r="D14" s="7">
        <v>0.12</v>
      </c>
    </row>
    <row r="15" spans="2:7" x14ac:dyDescent="0.25">
      <c r="B15" s="5" t="s">
        <v>26</v>
      </c>
      <c r="C15" s="5" t="s">
        <v>44</v>
      </c>
      <c r="D15" s="7">
        <v>0.2</v>
      </c>
    </row>
    <row r="16" spans="2:7" x14ac:dyDescent="0.25">
      <c r="B16" s="5" t="s">
        <v>27</v>
      </c>
      <c r="C16" s="5" t="s">
        <v>45</v>
      </c>
      <c r="D16" s="7">
        <v>0.52</v>
      </c>
    </row>
    <row r="17" spans="2:4" x14ac:dyDescent="0.25">
      <c r="B17" s="5" t="s">
        <v>28</v>
      </c>
      <c r="C17" s="5" t="s">
        <v>46</v>
      </c>
      <c r="D17" s="7">
        <v>0.05</v>
      </c>
    </row>
    <row r="24" spans="2:4" ht="15.6" x14ac:dyDescent="0.25">
      <c r="C24"/>
    </row>
    <row r="35" spans="18:18" ht="15.6" x14ac:dyDescent="0.25">
      <c r="R35"/>
    </row>
  </sheetData>
  <phoneticPr fontId="1" type="noConversion"/>
  <pageMargins left="0.75" right="0.75" top="1" bottom="1" header="0.5" footer="0.5"/>
  <pageSetup paperSize="9" orientation="portrait" horizontalDpi="1200" verticalDpi="1200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Visio.Drawing.15" shapeId="3080" r:id="rId4">
          <objectPr defaultSize="0" r:id="rId5">
            <anchor moveWithCells="1" sizeWithCells="1">
              <from>
                <xdr:col>6</xdr:col>
                <xdr:colOff>129540</xdr:colOff>
                <xdr:row>1</xdr:row>
                <xdr:rowOff>7620</xdr:rowOff>
              </from>
              <to>
                <xdr:col>12</xdr:col>
                <xdr:colOff>381000</xdr:colOff>
                <xdr:row>38</xdr:row>
                <xdr:rowOff>0</xdr:rowOff>
              </to>
            </anchor>
          </objectPr>
        </oleObject>
      </mc:Choice>
      <mc:Fallback>
        <oleObject progId="Visio.Drawing.15" shapeId="3080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物流量分析</vt:lpstr>
      <vt:lpstr>物流强度关联表</vt:lpstr>
      <vt:lpstr>非物流关系表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1996-12-17T01:32:42Z</dcterms:created>
  <dcterms:modified xsi:type="dcterms:W3CDTF">2024-12-22T08:37:05Z</dcterms:modified>
</cp:coreProperties>
</file>